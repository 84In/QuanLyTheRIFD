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OANG LONG\Desktop\"/>
    </mc:Choice>
  </mc:AlternateContent>
  <xr:revisionPtr revIDLastSave="0" documentId="13_ncr:1_{7BF5B009-D273-4D8F-9CD0-8C222907798A}" xr6:coauthVersionLast="47" xr6:coauthVersionMax="47" xr10:uidLastSave="{00000000-0000-0000-0000-000000000000}"/>
  <bookViews>
    <workbookView xWindow="-120" yWindow="-120" windowWidth="29040" windowHeight="15720" activeTab="5" xr2:uid="{6A178D85-6B0B-4051-837D-9DF60796A67D}"/>
  </bookViews>
  <sheets>
    <sheet name="T01" sheetId="14" r:id="rId1"/>
    <sheet name="T02" sheetId="15" r:id="rId2"/>
    <sheet name="T03" sheetId="16" r:id="rId3"/>
    <sheet name="T04" sheetId="17" r:id="rId4"/>
    <sheet name="T05" sheetId="18" r:id="rId5"/>
    <sheet name="T06" sheetId="19" r:id="rId6"/>
    <sheet name="T07" sheetId="20" r:id="rId7"/>
    <sheet name="T08" sheetId="21" r:id="rId8"/>
    <sheet name="T09" sheetId="22" r:id="rId9"/>
    <sheet name="T10" sheetId="23" r:id="rId10"/>
    <sheet name="T11" sheetId="24" r:id="rId11"/>
    <sheet name="T12" sheetId="25" r:id="rId12"/>
    <sheet name="Sheet1" sheetId="26" r:id="rId13"/>
  </sheets>
  <definedNames>
    <definedName name="_xlnm.Print_Area" localSheetId="0">'T01'!$B$1:$AK$30</definedName>
    <definedName name="_xlnm.Print_Area" localSheetId="1">'T02'!$B$1:$AA$29</definedName>
    <definedName name="_xlnm.Print_Area" localSheetId="2">'T03'!$B$1:$BD$29</definedName>
    <definedName name="_xlnm.Print_Area" localSheetId="3">'T04'!$B$1:$AR$29</definedName>
    <definedName name="_xlnm.Print_Area" localSheetId="4">'T05'!$B$1:$BB$29</definedName>
    <definedName name="_xlnm.Print_Area" localSheetId="5">'T06'!$B$1:$BT$29</definedName>
    <definedName name="_xlnm.Print_Area" localSheetId="6">'T07'!$B$1:$AM$29</definedName>
    <definedName name="_xlnm.Print_Area" localSheetId="7">'T08'!$B$1:$AM$29</definedName>
    <definedName name="_xlnm.Print_Area" localSheetId="8">'T09'!$B$1:$AM$29</definedName>
    <definedName name="_xlnm.Print_Area" localSheetId="9">'T10'!$B$1:$AM$29</definedName>
    <definedName name="_xlnm.Print_Area" localSheetId="10">'T11'!$B$1:$AM$29</definedName>
    <definedName name="_xlnm.Print_Area" localSheetId="11">'T12'!$B$1:$AM$29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9" l="1"/>
  <c r="BP14" i="19"/>
  <c r="BR13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AG14" i="19"/>
  <c r="AH14" i="19"/>
  <c r="AI14" i="19"/>
  <c r="AM14" i="19"/>
  <c r="AN14" i="19"/>
  <c r="AO14" i="19"/>
  <c r="AP14" i="19"/>
  <c r="AQ14" i="19"/>
  <c r="AR14" i="19"/>
  <c r="AS14" i="19"/>
  <c r="AT14" i="19"/>
  <c r="AU14" i="19"/>
  <c r="AV14" i="19"/>
  <c r="AW14" i="19"/>
  <c r="AX14" i="19"/>
  <c r="AY14" i="19"/>
  <c r="AZ14" i="19"/>
  <c r="BA14" i="19"/>
  <c r="BB14" i="19"/>
  <c r="AZ13" i="18"/>
  <c r="AY14" i="18"/>
  <c r="AY13" i="18"/>
  <c r="AV13" i="18"/>
  <c r="AA13" i="18"/>
  <c r="AX13" i="18"/>
  <c r="AV14" i="18"/>
  <c r="Y14" i="18"/>
  <c r="AA14" i="18"/>
  <c r="AW13" i="18"/>
  <c r="AW14" i="18" s="1"/>
  <c r="Z13" i="18"/>
  <c r="Z14" i="18" s="1"/>
  <c r="D6" i="26"/>
  <c r="D2" i="26"/>
  <c r="AX14" i="18" l="1"/>
  <c r="D7" i="26"/>
  <c r="D9" i="26" l="1"/>
  <c r="AU14" i="18"/>
  <c r="U14" i="18"/>
  <c r="X14" i="18"/>
  <c r="AT13" i="18"/>
  <c r="AT14" i="18" s="1"/>
  <c r="W13" i="18"/>
  <c r="W14" i="18" s="1"/>
  <c r="V13" i="18"/>
  <c r="V14" i="18" s="1"/>
  <c r="AS13" i="18"/>
  <c r="AS14" i="18" s="1"/>
  <c r="AR13" i="18"/>
  <c r="AR14" i="18" s="1"/>
  <c r="T13" i="18"/>
  <c r="AQ13" i="18"/>
  <c r="AP13" i="18"/>
  <c r="R13" i="18"/>
  <c r="AO13" i="18"/>
  <c r="Q13" i="18"/>
  <c r="P13" i="18"/>
  <c r="AN13" i="18"/>
  <c r="AM13" i="18"/>
  <c r="O13" i="18"/>
  <c r="AL13" i="18"/>
  <c r="N13" i="18"/>
  <c r="AJ13" i="18"/>
  <c r="L13" i="18"/>
  <c r="K13" i="18"/>
  <c r="K14" i="18" s="1"/>
  <c r="AH13" i="18"/>
  <c r="AH14" i="18" s="1"/>
  <c r="AG13" i="18"/>
  <c r="J13" i="18"/>
  <c r="AD13" i="18"/>
  <c r="I13" i="18" l="1"/>
  <c r="AB13" i="18" s="1"/>
  <c r="AC13" i="18"/>
  <c r="W14" i="17" l="1"/>
  <c r="W13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C6" i="26"/>
  <c r="AP13" i="17"/>
  <c r="B9" i="26"/>
  <c r="C7" i="26"/>
  <c r="C9" i="26" s="1"/>
  <c r="F13" i="17"/>
  <c r="B7" i="26"/>
  <c r="C4" i="26"/>
  <c r="V13" i="17" l="1"/>
  <c r="U13" i="17"/>
  <c r="T13" i="17"/>
  <c r="AN13" i="17"/>
  <c r="AM13" i="17"/>
  <c r="AJ13" i="17"/>
  <c r="Q13" i="17"/>
  <c r="AE13" i="17"/>
  <c r="AB13" i="17"/>
  <c r="I13" i="17"/>
  <c r="G13" i="17"/>
  <c r="S13" i="17"/>
  <c r="R13" i="17"/>
  <c r="AK13" i="17"/>
  <c r="AI13" i="17"/>
  <c r="O13" i="17"/>
  <c r="AF13" i="17"/>
  <c r="L13" i="17"/>
  <c r="K13" i="17"/>
  <c r="AD13" i="17"/>
  <c r="J13" i="17"/>
  <c r="AC13" i="17"/>
  <c r="H13" i="17"/>
  <c r="Z13" i="17"/>
  <c r="X13" i="17"/>
  <c r="S13" i="16"/>
  <c r="S14" i="16" s="1"/>
  <c r="AI13" i="16"/>
  <c r="AA13" i="16"/>
  <c r="G13" i="16"/>
  <c r="Y13" i="16"/>
  <c r="Y14" i="16" s="1"/>
  <c r="AX14" i="16"/>
  <c r="AZ14" i="16"/>
  <c r="BA14" i="16"/>
  <c r="V14" i="16"/>
  <c r="X14" i="16"/>
  <c r="AW13" i="16"/>
  <c r="AW14" i="16" s="1"/>
  <c r="AV13" i="16"/>
  <c r="AV14" i="16" s="1"/>
  <c r="AU13" i="16"/>
  <c r="AY13" i="16"/>
  <c r="AY14" i="16" s="1"/>
  <c r="W13" i="16"/>
  <c r="W14" i="16" s="1"/>
  <c r="U13" i="16"/>
  <c r="U14" i="16" s="1"/>
  <c r="T13" i="16"/>
  <c r="T14" i="16" s="1"/>
  <c r="AU14" i="16"/>
  <c r="AS13" i="16"/>
  <c r="AS14" i="16" s="1"/>
  <c r="R13" i="16"/>
  <c r="Q13" i="16"/>
  <c r="AR13" i="16"/>
  <c r="AR14" i="16" s="1"/>
  <c r="AP13" i="16"/>
  <c r="AP14" i="16" s="1"/>
  <c r="AT13" i="16"/>
  <c r="AT14" i="16" s="1"/>
  <c r="P13" i="16"/>
  <c r="AQ13" i="16"/>
  <c r="AQ14" i="16" s="1"/>
  <c r="AO13" i="16"/>
  <c r="AN13" i="16"/>
  <c r="O13" i="16"/>
  <c r="AM13" i="16"/>
  <c r="AL13" i="16"/>
  <c r="M13" i="16"/>
  <c r="AG13" i="16"/>
  <c r="K13" i="16"/>
  <c r="AF13" i="16"/>
  <c r="AE13" i="16" l="1"/>
  <c r="J13" i="16"/>
  <c r="AD13" i="16"/>
  <c r="AC13" i="16"/>
  <c r="I13" i="16"/>
  <c r="H14" i="16"/>
  <c r="H13" i="16"/>
  <c r="Z13" i="16" s="1"/>
  <c r="AB13" i="16"/>
  <c r="BB13" i="16" s="1"/>
  <c r="N13" i="15"/>
  <c r="X13" i="15"/>
  <c r="M13" i="15"/>
  <c r="W13" i="15"/>
  <c r="V13" i="15" l="1"/>
  <c r="L13" i="15"/>
  <c r="U13" i="15"/>
  <c r="K13" i="15"/>
  <c r="O13" i="15" s="1"/>
  <c r="S13" i="15"/>
  <c r="R13" i="15"/>
  <c r="P13" i="15"/>
  <c r="Y13" i="15" s="1"/>
  <c r="I15" i="14"/>
  <c r="F14" i="14"/>
  <c r="AH14" i="14"/>
  <c r="AH15" i="14" s="1"/>
  <c r="AD14" i="14"/>
  <c r="U14" i="14" l="1"/>
  <c r="F15" i="14"/>
  <c r="Q14" i="14"/>
  <c r="Q15" i="14" s="1"/>
  <c r="AE14" i="14"/>
  <c r="AE15" i="14" s="1"/>
  <c r="AC14" i="14"/>
  <c r="AC15" i="14" s="1"/>
  <c r="O14" i="14"/>
  <c r="O15" i="14" s="1"/>
  <c r="Y14" i="14"/>
  <c r="Y15" i="14" s="1"/>
  <c r="M14" i="14"/>
  <c r="M15" i="14" s="1"/>
  <c r="X14" i="14"/>
  <c r="G14" i="14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AK13" i="25"/>
  <c r="U13" i="25"/>
  <c r="U14" i="25" s="1"/>
  <c r="AK14" i="24"/>
  <c r="AJ14" i="24"/>
  <c r="AI14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AK13" i="24"/>
  <c r="U13" i="24"/>
  <c r="U14" i="24" s="1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AK13" i="23"/>
  <c r="AK14" i="23" s="1"/>
  <c r="U13" i="23"/>
  <c r="U14" i="23" s="1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AK13" i="22"/>
  <c r="AK14" i="22" s="1"/>
  <c r="U13" i="22"/>
  <c r="U14" i="22" s="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AK13" i="21"/>
  <c r="AK14" i="21" s="1"/>
  <c r="U13" i="21"/>
  <c r="U14" i="21" s="1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AK13" i="20"/>
  <c r="AK14" i="20" s="1"/>
  <c r="U13" i="20"/>
  <c r="U14" i="20" s="1"/>
  <c r="BQ14" i="19"/>
  <c r="BO14" i="19"/>
  <c r="BN14" i="19"/>
  <c r="BM14" i="19"/>
  <c r="BL14" i="19"/>
  <c r="BK14" i="19"/>
  <c r="BJ14" i="19"/>
  <c r="BI14" i="19"/>
  <c r="BH14" i="19"/>
  <c r="BG14" i="19"/>
  <c r="BF14" i="19"/>
  <c r="BE14" i="19"/>
  <c r="BD14" i="19"/>
  <c r="BC14" i="19"/>
  <c r="AJ14" i="19"/>
  <c r="BR14" i="19"/>
  <c r="AL14" i="19"/>
  <c r="AQ14" i="18"/>
  <c r="AP14" i="18"/>
  <c r="AO14" i="18"/>
  <c r="AN14" i="18"/>
  <c r="AM14" i="18"/>
  <c r="AL14" i="18"/>
  <c r="AK14" i="18"/>
  <c r="AJ14" i="18"/>
  <c r="AI14" i="18"/>
  <c r="AG14" i="18"/>
  <c r="AF14" i="18"/>
  <c r="AE14" i="18"/>
  <c r="AD14" i="18"/>
  <c r="AC14" i="18"/>
  <c r="T14" i="18"/>
  <c r="S14" i="18"/>
  <c r="R14" i="18"/>
  <c r="Q14" i="18"/>
  <c r="P14" i="18"/>
  <c r="O14" i="18"/>
  <c r="N14" i="18"/>
  <c r="M14" i="18"/>
  <c r="L14" i="18"/>
  <c r="J14" i="18"/>
  <c r="I14" i="18"/>
  <c r="H14" i="18"/>
  <c r="G14" i="18"/>
  <c r="AZ14" i="18"/>
  <c r="AB14" i="18"/>
  <c r="X14" i="17"/>
  <c r="G14" i="17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R14" i="16"/>
  <c r="Q14" i="16"/>
  <c r="P14" i="16"/>
  <c r="O14" i="16"/>
  <c r="N14" i="16"/>
  <c r="M14" i="16"/>
  <c r="L14" i="16"/>
  <c r="K14" i="16"/>
  <c r="J14" i="16"/>
  <c r="I14" i="16"/>
  <c r="G14" i="16"/>
  <c r="BB14" i="16"/>
  <c r="Z14" i="16"/>
  <c r="X14" i="15"/>
  <c r="Y14" i="15" s="1"/>
  <c r="W14" i="15"/>
  <c r="V14" i="15"/>
  <c r="U14" i="15"/>
  <c r="T14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AG15" i="14"/>
  <c r="AF15" i="14"/>
  <c r="AD15" i="14"/>
  <c r="AA15" i="14"/>
  <c r="Z15" i="14"/>
  <c r="W15" i="14"/>
  <c r="V15" i="14"/>
  <c r="T15" i="14"/>
  <c r="R15" i="14"/>
  <c r="P15" i="14"/>
  <c r="N15" i="14"/>
  <c r="L15" i="14"/>
  <c r="K15" i="14"/>
  <c r="H15" i="14"/>
  <c r="AB15" i="14"/>
  <c r="J15" i="14"/>
  <c r="AQ13" i="17" l="1"/>
  <c r="O14" i="15"/>
  <c r="S14" i="14"/>
  <c r="S15" i="14" s="1"/>
  <c r="U15" i="14"/>
  <c r="AI14" i="14"/>
  <c r="AI15" i="14"/>
  <c r="X15" i="14"/>
  <c r="G15" i="14"/>
  <c r="AJ14" i="14" l="1"/>
  <c r="AJ15" i="14" s="1"/>
  <c r="F13" i="15" l="1"/>
  <c r="F14" i="15" l="1"/>
  <c r="Z13" i="15"/>
  <c r="F13" i="16"/>
  <c r="BC13" i="16" s="1"/>
  <c r="Z14" i="15" l="1"/>
  <c r="F14" i="16"/>
  <c r="BC14" i="16" l="1"/>
  <c r="F14" i="17" l="1"/>
  <c r="AQ14" i="17" l="1"/>
  <c r="F13" i="18"/>
  <c r="F14" i="18" l="1"/>
  <c r="BA13" i="18"/>
  <c r="BA14" i="18" l="1"/>
  <c r="F13" i="19"/>
  <c r="F14" i="19" l="1"/>
  <c r="BS13" i="19"/>
  <c r="BS14" i="19" l="1"/>
  <c r="F13" i="20"/>
  <c r="F14" i="20" l="1"/>
  <c r="AL13" i="20"/>
  <c r="AL14" i="20" l="1"/>
  <c r="F13" i="21"/>
  <c r="F14" i="21" l="1"/>
  <c r="AL13" i="21"/>
  <c r="AL14" i="21" l="1"/>
  <c r="F13" i="22"/>
  <c r="F14" i="22" l="1"/>
  <c r="AL13" i="22"/>
  <c r="AL14" i="22" l="1"/>
  <c r="F13" i="23"/>
  <c r="F14" i="23" l="1"/>
  <c r="AL13" i="23"/>
  <c r="AL14" i="23" l="1"/>
  <c r="F13" i="24"/>
  <c r="F14" i="24" l="1"/>
  <c r="AL13" i="24"/>
  <c r="AL14" i="24" l="1"/>
  <c r="F13" i="25"/>
  <c r="F14" i="25" l="1"/>
  <c r="AL13" i="25"/>
  <c r="AL14" i="25" s="1"/>
</calcChain>
</file>

<file path=xl/sharedStrings.xml><?xml version="1.0" encoding="utf-8"?>
<sst xmlns="http://schemas.openxmlformats.org/spreadsheetml/2006/main" count="1421" uniqueCount="303">
  <si>
    <t>CÔNG TY CP THUỶ SẢN SÓC TRĂNG</t>
  </si>
  <si>
    <t>BM: 19-XNTL</t>
  </si>
  <si>
    <t xml:space="preserve"> TC: 00</t>
  </si>
  <si>
    <t>NBH: 15/12/2024</t>
  </si>
  <si>
    <t>BIỂU MẪU THEO DÕI LÃNH, CẤP PHÁT SỬ DỤNG, TỒN MỰC IN, GIẤY, THẺ, RUY BĂNG</t>
  </si>
  <si>
    <t>Bộ phận thực hiện theo dõi như sau:</t>
  </si>
  <si>
    <t>STT</t>
  </si>
  <si>
    <t>TÊN VẬT TƯ</t>
  </si>
  <si>
    <t>ĐỊNH MỨC SỬ DỤNG QUY ĐỊNH</t>
  </si>
  <si>
    <t>ĐƠN VỊ TÍNH</t>
  </si>
  <si>
    <t>TỒN ĐẦU KỲ</t>
  </si>
  <si>
    <t>KẾ HOẠCH/ĐỀ NGHỊ LÃNH</t>
  </si>
  <si>
    <t>CẤP PHÁT/ SỬ DỤNG</t>
  </si>
  <si>
    <t>TỒN CUỐI KỲ</t>
  </si>
  <si>
    <t>Ghi chú</t>
  </si>
  <si>
    <t>Số lượng</t>
  </si>
  <si>
    <t>Số lượng (cái)</t>
  </si>
  <si>
    <t>Tổng đề nghị lãnh</t>
  </si>
  <si>
    <t>Tổng cấp phát</t>
  </si>
  <si>
    <t>(1)</t>
  </si>
  <si>
    <t>(2)</t>
  </si>
  <si>
    <t>(3)</t>
  </si>
  <si>
    <t>(4)</t>
  </si>
  <si>
    <t>(5)</t>
  </si>
  <si>
    <t>(6.1)</t>
  </si>
  <si>
    <t>(6.2)</t>
  </si>
  <si>
    <t>(6)=∑(6.i)</t>
  </si>
  <si>
    <t>(7.1)</t>
  </si>
  <si>
    <t>(7.2)</t>
  </si>
  <si>
    <t>(7)=∑(7.i)</t>
  </si>
  <si>
    <t>(8)=(5)+(6)-(7)</t>
  </si>
  <si>
    <t>(9)</t>
  </si>
  <si>
    <t>TC</t>
  </si>
  <si>
    <t>Người báo cáo</t>
  </si>
  <si>
    <t>* Ghi chú:</t>
  </si>
  <si>
    <t>- Cột (3) Định mức sử dụng tối đa của Bộ phận/ Khâu được BGĐXN xét duyệt.</t>
  </si>
  <si>
    <t>- Cột (4) Đơn vị tính của từng loại vật tư theo dõi</t>
  </si>
  <si>
    <t>- Cột (5) Tồn đầu kỳ của tháng trước được mang sang.</t>
  </si>
  <si>
    <t>- Cột (6) Số lượng đề nghị lãnh tương ứng với từng khoảng thời gian yêu cầu của các Bộ phận/ Khâu sử dụng được nhận từ Văn Phòng XN</t>
  </si>
  <si>
    <t>- Cột (7) Số lượng cấp phát sử dụng tại Bộ phận/ Khâu.</t>
  </si>
  <si>
    <t>- Cột (8) = (5)+(6)-(7) Số lượng cuối kỳ của Bộ phận/ Khâu.</t>
  </si>
  <si>
    <t>- Khâu/ Bộ phận có phát sinh sử dụng gửi báo cáo theo dõi về Văn phòng XN trước ngày 05 hàng tháng.</t>
  </si>
  <si>
    <t>Đơn vị: XN TÂN LONG</t>
  </si>
  <si>
    <t>- Căn cứ vào định mức sử dụng mực in, giấy, thẻ, ruy băng (tối đa) tại XNTL của Lãnh đạo XNTL ký ngày 13/06/2025 ;</t>
  </si>
  <si>
    <t>Thẻ cảm ứng dùng cho máy chấm công Mifare 13.56 Mhz</t>
  </si>
  <si>
    <t>Cái</t>
  </si>
  <si>
    <t>(6.3)</t>
  </si>
  <si>
    <t>(6.4)</t>
  </si>
  <si>
    <t>(6.5)</t>
  </si>
  <si>
    <t>(6.6)</t>
  </si>
  <si>
    <t>(6.7)</t>
  </si>
  <si>
    <t>(6.8)</t>
  </si>
  <si>
    <t>(6.9)</t>
  </si>
  <si>
    <t>(6.10)</t>
  </si>
  <si>
    <t>(6.11)</t>
  </si>
  <si>
    <t>(6.12)</t>
  </si>
  <si>
    <t>(7.3)</t>
  </si>
  <si>
    <t>(7.4)</t>
  </si>
  <si>
    <t>(7.5)</t>
  </si>
  <si>
    <t>(7.7)</t>
  </si>
  <si>
    <t>(7.8)</t>
  </si>
  <si>
    <t>(7.9)</t>
  </si>
  <si>
    <t>(7.10)</t>
  </si>
  <si>
    <t>(7.11)</t>
  </si>
  <si>
    <t>(7.12)</t>
  </si>
  <si>
    <t>(7.13)</t>
  </si>
  <si>
    <t>(7.14)</t>
  </si>
  <si>
    <t>(7.15)</t>
  </si>
  <si>
    <t>(7.16)</t>
  </si>
  <si>
    <t>Ngày 1/11</t>
  </si>
  <si>
    <t>Ngày 2/11</t>
  </si>
  <si>
    <t>Ngày 3/11</t>
  </si>
  <si>
    <t>Ngày 6/11</t>
  </si>
  <si>
    <t>Ngày 7/11</t>
  </si>
  <si>
    <t>Ngày 8/11</t>
  </si>
  <si>
    <t>Ngày 9/11</t>
  </si>
  <si>
    <t>Ngày 10/11</t>
  </si>
  <si>
    <t>Ngày 11/11</t>
  </si>
  <si>
    <t>Ngày 12/11</t>
  </si>
  <si>
    <t>Ngày 13/11</t>
  </si>
  <si>
    <t>Ngày 14/11</t>
  </si>
  <si>
    <t>Ngày 15/11</t>
  </si>
  <si>
    <t>Ngày 16/11</t>
  </si>
  <si>
    <t>Ngày 21/11</t>
  </si>
  <si>
    <t>Ngày 22/11</t>
  </si>
  <si>
    <t>Ngày 23/11</t>
  </si>
  <si>
    <t>Ngày 24/11</t>
  </si>
  <si>
    <t>Ngày 25/11</t>
  </si>
  <si>
    <t>Ngày 27/11</t>
  </si>
  <si>
    <t>(6.13)</t>
  </si>
  <si>
    <t>(6.14)</t>
  </si>
  <si>
    <t>Ngày 28/11</t>
  </si>
  <si>
    <t>Nguyễn Trung Tín</t>
  </si>
  <si>
    <t>Không đề nghị lãnh.
Chỉ thu hồi từ các khâu</t>
  </si>
  <si>
    <t>Hà Lương Xuân Bách</t>
  </si>
  <si>
    <t>Bộ phận: VPXN - Tổ IT</t>
  </si>
  <si>
    <t>Nhóm Trưởng</t>
  </si>
  <si>
    <t>THÁNG: 01/2026</t>
  </si>
  <si>
    <t>THÁNG: 02/2026</t>
  </si>
  <si>
    <t>THÁNG: 03/2026</t>
  </si>
  <si>
    <t>THÁNG: 04/2026</t>
  </si>
  <si>
    <t>THÁNG: 05/2026</t>
  </si>
  <si>
    <t>THÁNG: 07/2026</t>
  </si>
  <si>
    <t>THÁNG: 08/2026</t>
  </si>
  <si>
    <t>THÁNG: 09/2026</t>
  </si>
  <si>
    <t>THÁNG: 10/2026</t>
  </si>
  <si>
    <t>THÁNG: 11/2026</t>
  </si>
  <si>
    <t>THÁNG: 12/2026</t>
  </si>
  <si>
    <t>Ngày 3/1</t>
  </si>
  <si>
    <t>Ngày 4/1</t>
  </si>
  <si>
    <t>Ngày 6/1</t>
  </si>
  <si>
    <t>Ngày 7/1</t>
  </si>
  <si>
    <t>Ngày 8/1</t>
  </si>
  <si>
    <t>Ngày 9/1</t>
  </si>
  <si>
    <t>Ngày 10/1</t>
  </si>
  <si>
    <t>Ngày 12/1</t>
  </si>
  <si>
    <t>Ngày 14/1</t>
  </si>
  <si>
    <t>Ngày 15/1</t>
  </si>
  <si>
    <t>Ngày 18/1</t>
  </si>
  <si>
    <t>Ngày 19/1</t>
  </si>
  <si>
    <t>Ngày 20/1</t>
  </si>
  <si>
    <t>Ngày 21/1</t>
  </si>
  <si>
    <t>Ngày 23/1</t>
  </si>
  <si>
    <t>Ngày 24/1</t>
  </si>
  <si>
    <t>Ngày 25/1</t>
  </si>
  <si>
    <t>Ngày 26/1</t>
  </si>
  <si>
    <t>Ngày 31/1</t>
  </si>
  <si>
    <t>- Căn cứ vào Phiếu đề nghị lãnh thẻ (BM:01PX-KTVT) số TLOVPX-026 ngày 05/01/2026</t>
  </si>
  <si>
    <t>Ngày 6/1 (Lãnh từ kho vật tư)</t>
  </si>
  <si>
    <t>Có đề nghị lãnh 1000 thẻ từ kho vật tư theo BM:01PX-KTVT số TLOVPX-026 ngày 06/01/2026 và
Thu hồi từ các khâu</t>
  </si>
  <si>
    <t>Ngày 1/2</t>
  </si>
  <si>
    <t>Ngày 2/2</t>
  </si>
  <si>
    <t>Ngày 4/2</t>
  </si>
  <si>
    <t>Ngày 6/2</t>
  </si>
  <si>
    <t>Ngày 9/2</t>
  </si>
  <si>
    <t>Ngày 10/2</t>
  </si>
  <si>
    <t>Ngày 11/2</t>
  </si>
  <si>
    <t>Ngày 23/2</t>
  </si>
  <si>
    <t>Ngày 24/2</t>
  </si>
  <si>
    <t>Ngày 25/2</t>
  </si>
  <si>
    <t>Ngày 26/2</t>
  </si>
  <si>
    <t>Ngày 27/2</t>
  </si>
  <si>
    <t>Ngày 28/2</t>
  </si>
  <si>
    <t>Ngày 1/3</t>
  </si>
  <si>
    <t>Ngày 2/3</t>
  </si>
  <si>
    <t>Ngày 3/3</t>
  </si>
  <si>
    <t>Ngày 4/3</t>
  </si>
  <si>
    <t>Ngày 5/3</t>
  </si>
  <si>
    <t>Ngày 6/3</t>
  </si>
  <si>
    <t>Ngày 7/3</t>
  </si>
  <si>
    <t>Ngày 8/3</t>
  </si>
  <si>
    <t>Ngày 9/3</t>
  </si>
  <si>
    <t>Ngày 10/3</t>
  </si>
  <si>
    <t>Ngày 11/3</t>
  </si>
  <si>
    <t>Ngày 12/3</t>
  </si>
  <si>
    <t>Ngày 13/3</t>
  </si>
  <si>
    <t>Ngày 14/3</t>
  </si>
  <si>
    <t>Ngày 16/3</t>
  </si>
  <si>
    <t>(7.17)</t>
  </si>
  <si>
    <t>(7.18)</t>
  </si>
  <si>
    <t>(7.19)</t>
  </si>
  <si>
    <t>(7.20)</t>
  </si>
  <si>
    <t>(7.21)</t>
  </si>
  <si>
    <t>Ngày 17/3</t>
  </si>
  <si>
    <t>Ngày 18/3</t>
  </si>
  <si>
    <t>Ngày 19/3</t>
  </si>
  <si>
    <t>Ngày 20/3</t>
  </si>
  <si>
    <t>Ngày 21/3</t>
  </si>
  <si>
    <t>Ngày 22/3</t>
  </si>
  <si>
    <t>Ngày 23/3</t>
  </si>
  <si>
    <t>Ngày 24/3</t>
  </si>
  <si>
    <t>Ngày 26/3</t>
  </si>
  <si>
    <t>Ngày 27/3</t>
  </si>
  <si>
    <t>Ngày 28/3</t>
  </si>
  <si>
    <t>(6.15)</t>
  </si>
  <si>
    <t>(6.16)</t>
  </si>
  <si>
    <t>(6.17)</t>
  </si>
  <si>
    <t>(6.18)</t>
  </si>
  <si>
    <t>(6.19)</t>
  </si>
  <si>
    <t>(7.22)</t>
  </si>
  <si>
    <t>(7.23)</t>
  </si>
  <si>
    <t>(7.24)</t>
  </si>
  <si>
    <t>(7.25)</t>
  </si>
  <si>
    <t>(7.26)</t>
  </si>
  <si>
    <t>(7.27)</t>
  </si>
  <si>
    <t>Ngày 29/3</t>
  </si>
  <si>
    <t>Ngày 30/3</t>
  </si>
  <si>
    <t>Ngày 31/3</t>
  </si>
  <si>
    <t>(7.28)</t>
  </si>
  <si>
    <t>Thẻ trắng</t>
  </si>
  <si>
    <t>Không đề nghị lãnh.
Chỉ thu hồi từ các khâu. Thẻ trắng: 571. Thẻ đã khắc 445.</t>
  </si>
  <si>
    <t>Ngày 1/4</t>
  </si>
  <si>
    <t>Ngày 2/4</t>
  </si>
  <si>
    <t>Ngày 3/4</t>
  </si>
  <si>
    <t>Ngày 5/4</t>
  </si>
  <si>
    <t>Ngày  6/4</t>
  </si>
  <si>
    <t>Ngày  7/4</t>
  </si>
  <si>
    <t>Ngày  8/4</t>
  </si>
  <si>
    <t>Ngày 9/4</t>
  </si>
  <si>
    <t>Ngày 10/4</t>
  </si>
  <si>
    <t>Ngày 12/4</t>
  </si>
  <si>
    <t>Ngày 14/4</t>
  </si>
  <si>
    <t>Ngày 15/4</t>
  </si>
  <si>
    <t>Ngày 16/4</t>
  </si>
  <si>
    <t>Ngày 17/4</t>
  </si>
  <si>
    <t>Ngày 18/4</t>
  </si>
  <si>
    <t>Ngày 21/4</t>
  </si>
  <si>
    <t>Ngày 22/4</t>
  </si>
  <si>
    <t>Ngày 23/4</t>
  </si>
  <si>
    <t>Ngày 11/4</t>
  </si>
  <si>
    <t>Ngày 26/4</t>
  </si>
  <si>
    <t>Ngày 27/4</t>
  </si>
  <si>
    <t>Ngày 28/4</t>
  </si>
  <si>
    <t>Tháng 3</t>
  </si>
  <si>
    <t>Tháng 4</t>
  </si>
  <si>
    <t>Thẻ trả 1 thẻ</t>
  </si>
  <si>
    <t>Thẻ khắc đã sử dụng</t>
  </si>
  <si>
    <t>Thẻ khắc chưa sử dụng</t>
  </si>
  <si>
    <t>Thẻ hư</t>
  </si>
  <si>
    <t>Giấy tờ báo</t>
  </si>
  <si>
    <t>Tổng</t>
  </si>
  <si>
    <t>Ngày 30/4</t>
  </si>
  <si>
    <t>Số thẻ dư so với báo cáo</t>
  </si>
  <si>
    <t>(7.6)</t>
  </si>
  <si>
    <t>Không đề nghị lãnh.
Chỉ thu hồi từ các khâu. Thu hồi mỗi nhóm 1 thẻ từ PTO và CIS lạnh: 685 thẻ. Ngày 30/04/2026 đề nghị thanh lý 50 thẻ. Tổng số thẻ trắng 562, thẻ đã khắc 1124.</t>
  </si>
  <si>
    <t>Tháng 5</t>
  </si>
  <si>
    <t>Ngày 2/5</t>
  </si>
  <si>
    <t>Ngày 3/5</t>
  </si>
  <si>
    <t>Ngày 4/5</t>
  </si>
  <si>
    <t>Ngày 5/5</t>
  </si>
  <si>
    <t>Ngày 6/5</t>
  </si>
  <si>
    <t>Ngày 7/5</t>
  </si>
  <si>
    <t>Ngày 8/5</t>
  </si>
  <si>
    <t>Ngày 9/5</t>
  </si>
  <si>
    <t>Ngày 10/5</t>
  </si>
  <si>
    <t>Ngày 11/5</t>
  </si>
  <si>
    <t>Ngày 12/5</t>
  </si>
  <si>
    <t>Ngày 13/5</t>
  </si>
  <si>
    <t>Ngày 15/5</t>
  </si>
  <si>
    <t>Ngày 16/5</t>
  </si>
  <si>
    <t>Ngày 17/5</t>
  </si>
  <si>
    <t>Ngày 18/5</t>
  </si>
  <si>
    <t>Ngày 19/5</t>
  </si>
  <si>
    <t>Ngày 20/5</t>
  </si>
  <si>
    <t>Ngày 21/5</t>
  </si>
  <si>
    <t>Ngày 22/5</t>
  </si>
  <si>
    <t>Ngày 23/5</t>
  </si>
  <si>
    <t>Ngày 25/5</t>
  </si>
  <si>
    <t>Ngày 26/5</t>
  </si>
  <si>
    <t>(6.20)</t>
  </si>
  <si>
    <t>Ngày 27/5</t>
  </si>
  <si>
    <t>Ngày 28/5</t>
  </si>
  <si>
    <t>Ngày 29/5</t>
  </si>
  <si>
    <t>Ngày 30/5</t>
  </si>
  <si>
    <t>(6.21)</t>
  </si>
  <si>
    <t>Không đề nghị lãnh.
Chỉ thu hồi từ các khâu.
Ngày 27/05/2026 thanh lý 50 thẻ hỏng.</t>
  </si>
  <si>
    <t>Ngày tổng hợp 31/05/2026</t>
  </si>
  <si>
    <t>Ngày 31/5</t>
  </si>
  <si>
    <t>(6.22)</t>
  </si>
  <si>
    <t>(6.23)</t>
  </si>
  <si>
    <t>(6.24)</t>
  </si>
  <si>
    <t>(6.25)</t>
  </si>
  <si>
    <t>(6.26)</t>
  </si>
  <si>
    <t>(6.27.)</t>
  </si>
  <si>
    <t>(6.28)</t>
  </si>
  <si>
    <t>(6.29)</t>
  </si>
  <si>
    <t>(6.30)</t>
  </si>
  <si>
    <t>(7.29)</t>
  </si>
  <si>
    <t>(7.30)</t>
  </si>
  <si>
    <t>THÁNG: ../..</t>
  </si>
  <si>
    <t>(6.31)</t>
  </si>
  <si>
    <t>(7.31)</t>
  </si>
  <si>
    <t>Ngày 01</t>
  </si>
  <si>
    <t>Ngày 02</t>
  </si>
  <si>
    <t>Ngày 03</t>
  </si>
  <si>
    <t>Ngày 04</t>
  </si>
  <si>
    <t>Ngày 05</t>
  </si>
  <si>
    <t>Ngày 06</t>
  </si>
  <si>
    <t>Ngày 07</t>
  </si>
  <si>
    <t>Ngày 08</t>
  </si>
  <si>
    <t>Ngày 09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</si>
  <si>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</si>
  <si>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</si>
  <si>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</si>
  <si>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</si>
  <si>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</si>
  <si>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</si>
  <si>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</si>
  <si>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</si>
  <si>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</si>
  <si>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</si>
  <si>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</si>
  <si>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</si>
  <si>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</si>
  <si>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</si>
  <si>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</si>
  <si>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</si>
  <si>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</si>
  <si>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</si>
  <si>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</si>
  <si>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</si>
  <si>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</si>
  <si>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Ngày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</si>
</sst>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Ngày&quot;\ dd/mm"/>
    <numFmt numFmtId="165" formatCode="&quot;Ngày&quot;\ \n\ dd/mm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rgb="FF0000CC"/>
      <name val="Times New Roman"/>
      <family val="1"/>
    </font>
    <font>
      <sz val="12"/>
      <name val="VNI-Times"/>
    </font>
    <font>
      <b/>
      <u/>
      <sz val="13"/>
      <color theme="1"/>
      <name val="Times New Roman"/>
      <family val="1"/>
    </font>
    <font>
      <sz val="13"/>
      <color rgb="FF0000CC"/>
      <name val="Times New Roman"/>
      <family val="1"/>
    </font>
    <font>
      <b/>
      <i/>
      <sz val="13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/>
    <xf numFmtId="0" fontId="5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horizontal="justify"/>
    </xf>
    <xf numFmtId="0" fontId="1" fillId="0" borderId="0" xfId="0" applyFont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1" quotePrefix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quotePrefix="1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1" fillId="0" borderId="1" xfId="0" applyFont="1" applyBorder="1"/>
    <xf numFmtId="0" fontId="10" fillId="0" borderId="0" xfId="0" quotePrefix="1" applyFont="1" applyAlignment="1">
      <alignment horizontal="left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/>
    </xf>
    <xf numFmtId="0" fontId="14" fillId="0" borderId="1" xfId="1" quotePrefix="1" applyFont="1" applyBorder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14" fillId="0" borderId="1" xfId="1" quotePrefix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0" fillId="0" borderId="0" xfId="0" quotePrefix="1" applyFont="1" applyAlignment="1">
      <alignment horizontal="left" vertical="center" wrapText="1"/>
    </xf>
    <xf numFmtId="0" fontId="1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5" fillId="0" borderId="4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DE8D75AC-7C47-4634-A63F-49CA38654D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Tháng 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Thẻ trắng</c:v>
                </c:pt>
                <c:pt idx="1">
                  <c:v>Thẻ khắc đã sử dụng</c:v>
                </c:pt>
                <c:pt idx="2">
                  <c:v>Thẻ trả 1 thẻ</c:v>
                </c:pt>
                <c:pt idx="3">
                  <c:v>Thẻ khắc chưa sử dụng</c:v>
                </c:pt>
                <c:pt idx="4">
                  <c:v>Thẻ hư</c:v>
                </c:pt>
                <c:pt idx="5">
                  <c:v>Tổng</c:v>
                </c:pt>
                <c:pt idx="6">
                  <c:v>Giấy tờ báo</c:v>
                </c:pt>
                <c:pt idx="7">
                  <c:v>Số thẻ dư so với báo cáo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571</c:v>
                </c:pt>
                <c:pt idx="1">
                  <c:v>435</c:v>
                </c:pt>
                <c:pt idx="2">
                  <c:v>0</c:v>
                </c:pt>
                <c:pt idx="3">
                  <c:v>29</c:v>
                </c:pt>
                <c:pt idx="4">
                  <c:v>139</c:v>
                </c:pt>
                <c:pt idx="5">
                  <c:v>1174</c:v>
                </c:pt>
                <c:pt idx="6">
                  <c:v>1016</c:v>
                </c:pt>
                <c:pt idx="7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C-45AF-9676-7512FD487E3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Tháng 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Thẻ trắng</c:v>
                </c:pt>
                <c:pt idx="1">
                  <c:v>Thẻ khắc đã sử dụng</c:v>
                </c:pt>
                <c:pt idx="2">
                  <c:v>Thẻ trả 1 thẻ</c:v>
                </c:pt>
                <c:pt idx="3">
                  <c:v>Thẻ khắc chưa sử dụng</c:v>
                </c:pt>
                <c:pt idx="4">
                  <c:v>Thẻ hư</c:v>
                </c:pt>
                <c:pt idx="5">
                  <c:v>Tổng</c:v>
                </c:pt>
                <c:pt idx="6">
                  <c:v>Giấy tờ báo</c:v>
                </c:pt>
                <c:pt idx="7">
                  <c:v>Số thẻ dư so với báo cáo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562</c:v>
                </c:pt>
                <c:pt idx="1">
                  <c:v>435</c:v>
                </c:pt>
                <c:pt idx="2">
                  <c:v>650</c:v>
                </c:pt>
                <c:pt idx="3">
                  <c:v>83</c:v>
                </c:pt>
                <c:pt idx="4">
                  <c:v>89</c:v>
                </c:pt>
                <c:pt idx="5">
                  <c:v>1819</c:v>
                </c:pt>
                <c:pt idx="6">
                  <c:v>1686</c:v>
                </c:pt>
                <c:pt idx="7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C-45AF-9676-7512FD487E3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Tháng 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Thẻ trắng</c:v>
                </c:pt>
                <c:pt idx="1">
                  <c:v>Thẻ khắc đã sử dụng</c:v>
                </c:pt>
                <c:pt idx="2">
                  <c:v>Thẻ trả 1 thẻ</c:v>
                </c:pt>
                <c:pt idx="3">
                  <c:v>Thẻ khắc chưa sử dụng</c:v>
                </c:pt>
                <c:pt idx="4">
                  <c:v>Thẻ hư</c:v>
                </c:pt>
                <c:pt idx="5">
                  <c:v>Tổng</c:v>
                </c:pt>
                <c:pt idx="6">
                  <c:v>Giấy tờ báo</c:v>
                </c:pt>
                <c:pt idx="7">
                  <c:v>Số thẻ dư so với báo cáo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541</c:v>
                </c:pt>
                <c:pt idx="1">
                  <c:v>418</c:v>
                </c:pt>
                <c:pt idx="2">
                  <c:v>643</c:v>
                </c:pt>
                <c:pt idx="3">
                  <c:v>75</c:v>
                </c:pt>
                <c:pt idx="4">
                  <c:v>51</c:v>
                </c:pt>
                <c:pt idx="5">
                  <c:v>1728</c:v>
                </c:pt>
                <c:pt idx="6">
                  <c:v>1589</c:v>
                </c:pt>
                <c:pt idx="7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C-45AF-9676-7512FD487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405568"/>
        <c:axId val="396401608"/>
      </c:lineChart>
      <c:catAx>
        <c:axId val="39640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01608"/>
        <c:crosses val="autoZero"/>
        <c:auto val="1"/>
        <c:lblAlgn val="ctr"/>
        <c:lblOffset val="100"/>
        <c:noMultiLvlLbl val="0"/>
      </c:catAx>
      <c:valAx>
        <c:axId val="39640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0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495299</xdr:colOff>
      <xdr:row>1</xdr:row>
      <xdr:rowOff>195261</xdr:rowOff>
    </xdr:from>
    <xdr:to>
      <xdr:col>20</xdr:col>
      <xdr:colOff>104774</xdr:colOff>
      <xdr:row>25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B39D3F-DAF1-754E-AF12-09A195A9C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F589-EE43-48B3-BD9B-52683AF1416D}">
  <sheetPr codeName="Sheet1">
    <pageSetUpPr fitToPage="1"/>
  </sheetPr>
  <dimension ref="B1:AK29"/>
  <sheetViews>
    <sheetView topLeftCell="C10" zoomScale="66" zoomScaleNormal="66" workbookViewId="0">
      <selection activeCell="AK26" sqref="AK26"/>
    </sheetView>
  </sheetViews>
  <sheetFormatPr defaultColWidth="8.7109375" defaultRowHeight="16.5" x14ac:dyDescent="0.25"/>
  <cols>
    <col min="1" max="1" width="3.7109375" style="1" customWidth="1"/>
    <col min="2" max="2" width="8.7109375" style="1" customWidth="1"/>
    <col min="3" max="3" width="24" style="1" bestFit="1" customWidth="1"/>
    <col min="4" max="4" width="9.28515625" style="1" customWidth="1"/>
    <col min="5" max="5" width="9.7109375" style="1" bestFit="1" customWidth="1"/>
    <col min="6" max="6" width="13" style="1" customWidth="1"/>
    <col min="7" max="8" width="6.28515625" style="3" customWidth="1"/>
    <col min="9" max="9" width="13.5703125" style="3" customWidth="1"/>
    <col min="10" max="13" width="6.28515625" style="3" customWidth="1"/>
    <col min="14" max="16" width="6.28515625" style="3" bestFit="1" customWidth="1"/>
    <col min="17" max="18" width="7" style="3" bestFit="1" customWidth="1"/>
    <col min="19" max="19" width="11" style="3" bestFit="1" customWidth="1"/>
    <col min="20" max="24" width="6.28515625" style="3" customWidth="1"/>
    <col min="25" max="27" width="6.28515625" style="3" bestFit="1" customWidth="1"/>
    <col min="28" max="33" width="7" style="3" bestFit="1" customWidth="1"/>
    <col min="34" max="34" width="7" style="3" customWidth="1"/>
    <col min="35" max="35" width="11" style="1" bestFit="1" customWidth="1"/>
    <col min="36" max="37" width="16.28515625" style="1" bestFit="1" customWidth="1"/>
    <col min="38" max="266" width="8.7109375" style="1"/>
    <col min="267" max="267" width="3.7109375" style="1" customWidth="1"/>
    <col min="268" max="268" width="4.28515625" style="1" customWidth="1"/>
    <col min="269" max="269" width="11.28515625" style="1" customWidth="1"/>
    <col min="270" max="270" width="13.42578125" style="1" customWidth="1"/>
    <col min="271" max="273" width="5.42578125" style="1" customWidth="1"/>
    <col min="274" max="274" width="8.28515625" style="1" customWidth="1"/>
    <col min="275" max="277" width="4.7109375" style="1" customWidth="1"/>
    <col min="278" max="278" width="11.7109375" style="1" customWidth="1"/>
    <col min="279" max="280" width="7" style="1" customWidth="1"/>
    <col min="281" max="281" width="6.42578125" style="1" customWidth="1"/>
    <col min="282" max="282" width="15" style="1" customWidth="1"/>
    <col min="283" max="283" width="5.28515625" style="1" customWidth="1"/>
    <col min="284" max="286" width="4.7109375" style="1" customWidth="1"/>
    <col min="287" max="287" width="11.7109375" style="1" customWidth="1"/>
    <col min="288" max="288" width="10" style="1" customWidth="1"/>
    <col min="289" max="289" width="7.42578125" style="1" customWidth="1"/>
    <col min="290" max="290" width="7.140625" style="1" customWidth="1"/>
    <col min="291" max="291" width="6.42578125" style="1" customWidth="1"/>
    <col min="292" max="522" width="8.7109375" style="1"/>
    <col min="523" max="523" width="3.7109375" style="1" customWidth="1"/>
    <col min="524" max="524" width="4.28515625" style="1" customWidth="1"/>
    <col min="525" max="525" width="11.28515625" style="1" customWidth="1"/>
    <col min="526" max="526" width="13.42578125" style="1" customWidth="1"/>
    <col min="527" max="529" width="5.42578125" style="1" customWidth="1"/>
    <col min="530" max="530" width="8.28515625" style="1" customWidth="1"/>
    <col min="531" max="533" width="4.7109375" style="1" customWidth="1"/>
    <col min="534" max="534" width="11.7109375" style="1" customWidth="1"/>
    <col min="535" max="536" width="7" style="1" customWidth="1"/>
    <col min="537" max="537" width="6.42578125" style="1" customWidth="1"/>
    <col min="538" max="538" width="15" style="1" customWidth="1"/>
    <col min="539" max="539" width="5.28515625" style="1" customWidth="1"/>
    <col min="540" max="542" width="4.7109375" style="1" customWidth="1"/>
    <col min="543" max="543" width="11.7109375" style="1" customWidth="1"/>
    <col min="544" max="544" width="10" style="1" customWidth="1"/>
    <col min="545" max="545" width="7.42578125" style="1" customWidth="1"/>
    <col min="546" max="546" width="7.140625" style="1" customWidth="1"/>
    <col min="547" max="547" width="6.42578125" style="1" customWidth="1"/>
    <col min="548" max="778" width="8.7109375" style="1"/>
    <col min="779" max="779" width="3.7109375" style="1" customWidth="1"/>
    <col min="780" max="780" width="4.28515625" style="1" customWidth="1"/>
    <col min="781" max="781" width="11.28515625" style="1" customWidth="1"/>
    <col min="782" max="782" width="13.42578125" style="1" customWidth="1"/>
    <col min="783" max="785" width="5.42578125" style="1" customWidth="1"/>
    <col min="786" max="786" width="8.28515625" style="1" customWidth="1"/>
    <col min="787" max="789" width="4.7109375" style="1" customWidth="1"/>
    <col min="790" max="790" width="11.7109375" style="1" customWidth="1"/>
    <col min="791" max="792" width="7" style="1" customWidth="1"/>
    <col min="793" max="793" width="6.42578125" style="1" customWidth="1"/>
    <col min="794" max="794" width="15" style="1" customWidth="1"/>
    <col min="795" max="795" width="5.28515625" style="1" customWidth="1"/>
    <col min="796" max="798" width="4.7109375" style="1" customWidth="1"/>
    <col min="799" max="799" width="11.7109375" style="1" customWidth="1"/>
    <col min="800" max="800" width="10" style="1" customWidth="1"/>
    <col min="801" max="801" width="7.42578125" style="1" customWidth="1"/>
    <col min="802" max="802" width="7.140625" style="1" customWidth="1"/>
    <col min="803" max="803" width="6.42578125" style="1" customWidth="1"/>
    <col min="804" max="1034" width="8.7109375" style="1"/>
    <col min="1035" max="1035" width="3.7109375" style="1" customWidth="1"/>
    <col min="1036" max="1036" width="4.28515625" style="1" customWidth="1"/>
    <col min="1037" max="1037" width="11.28515625" style="1" customWidth="1"/>
    <col min="1038" max="1038" width="13.42578125" style="1" customWidth="1"/>
    <col min="1039" max="1041" width="5.42578125" style="1" customWidth="1"/>
    <col min="1042" max="1042" width="8.28515625" style="1" customWidth="1"/>
    <col min="1043" max="1045" width="4.7109375" style="1" customWidth="1"/>
    <col min="1046" max="1046" width="11.7109375" style="1" customWidth="1"/>
    <col min="1047" max="1048" width="7" style="1" customWidth="1"/>
    <col min="1049" max="1049" width="6.42578125" style="1" customWidth="1"/>
    <col min="1050" max="1050" width="15" style="1" customWidth="1"/>
    <col min="1051" max="1051" width="5.28515625" style="1" customWidth="1"/>
    <col min="1052" max="1054" width="4.7109375" style="1" customWidth="1"/>
    <col min="1055" max="1055" width="11.7109375" style="1" customWidth="1"/>
    <col min="1056" max="1056" width="10" style="1" customWidth="1"/>
    <col min="1057" max="1057" width="7.42578125" style="1" customWidth="1"/>
    <col min="1058" max="1058" width="7.140625" style="1" customWidth="1"/>
    <col min="1059" max="1059" width="6.42578125" style="1" customWidth="1"/>
    <col min="1060" max="1290" width="8.7109375" style="1"/>
    <col min="1291" max="1291" width="3.7109375" style="1" customWidth="1"/>
    <col min="1292" max="1292" width="4.28515625" style="1" customWidth="1"/>
    <col min="1293" max="1293" width="11.28515625" style="1" customWidth="1"/>
    <col min="1294" max="1294" width="13.42578125" style="1" customWidth="1"/>
    <col min="1295" max="1297" width="5.42578125" style="1" customWidth="1"/>
    <col min="1298" max="1298" width="8.28515625" style="1" customWidth="1"/>
    <col min="1299" max="1301" width="4.7109375" style="1" customWidth="1"/>
    <col min="1302" max="1302" width="11.7109375" style="1" customWidth="1"/>
    <col min="1303" max="1304" width="7" style="1" customWidth="1"/>
    <col min="1305" max="1305" width="6.42578125" style="1" customWidth="1"/>
    <col min="1306" max="1306" width="15" style="1" customWidth="1"/>
    <col min="1307" max="1307" width="5.28515625" style="1" customWidth="1"/>
    <col min="1308" max="1310" width="4.7109375" style="1" customWidth="1"/>
    <col min="1311" max="1311" width="11.7109375" style="1" customWidth="1"/>
    <col min="1312" max="1312" width="10" style="1" customWidth="1"/>
    <col min="1313" max="1313" width="7.42578125" style="1" customWidth="1"/>
    <col min="1314" max="1314" width="7.140625" style="1" customWidth="1"/>
    <col min="1315" max="1315" width="6.42578125" style="1" customWidth="1"/>
    <col min="1316" max="1546" width="8.7109375" style="1"/>
    <col min="1547" max="1547" width="3.7109375" style="1" customWidth="1"/>
    <col min="1548" max="1548" width="4.28515625" style="1" customWidth="1"/>
    <col min="1549" max="1549" width="11.28515625" style="1" customWidth="1"/>
    <col min="1550" max="1550" width="13.42578125" style="1" customWidth="1"/>
    <col min="1551" max="1553" width="5.42578125" style="1" customWidth="1"/>
    <col min="1554" max="1554" width="8.28515625" style="1" customWidth="1"/>
    <col min="1555" max="1557" width="4.7109375" style="1" customWidth="1"/>
    <col min="1558" max="1558" width="11.7109375" style="1" customWidth="1"/>
    <col min="1559" max="1560" width="7" style="1" customWidth="1"/>
    <col min="1561" max="1561" width="6.42578125" style="1" customWidth="1"/>
    <col min="1562" max="1562" width="15" style="1" customWidth="1"/>
    <col min="1563" max="1563" width="5.28515625" style="1" customWidth="1"/>
    <col min="1564" max="1566" width="4.7109375" style="1" customWidth="1"/>
    <col min="1567" max="1567" width="11.7109375" style="1" customWidth="1"/>
    <col min="1568" max="1568" width="10" style="1" customWidth="1"/>
    <col min="1569" max="1569" width="7.42578125" style="1" customWidth="1"/>
    <col min="1570" max="1570" width="7.140625" style="1" customWidth="1"/>
    <col min="1571" max="1571" width="6.42578125" style="1" customWidth="1"/>
    <col min="1572" max="1802" width="8.7109375" style="1"/>
    <col min="1803" max="1803" width="3.7109375" style="1" customWidth="1"/>
    <col min="1804" max="1804" width="4.28515625" style="1" customWidth="1"/>
    <col min="1805" max="1805" width="11.28515625" style="1" customWidth="1"/>
    <col min="1806" max="1806" width="13.42578125" style="1" customWidth="1"/>
    <col min="1807" max="1809" width="5.42578125" style="1" customWidth="1"/>
    <col min="1810" max="1810" width="8.28515625" style="1" customWidth="1"/>
    <col min="1811" max="1813" width="4.7109375" style="1" customWidth="1"/>
    <col min="1814" max="1814" width="11.7109375" style="1" customWidth="1"/>
    <col min="1815" max="1816" width="7" style="1" customWidth="1"/>
    <col min="1817" max="1817" width="6.42578125" style="1" customWidth="1"/>
    <col min="1818" max="1818" width="15" style="1" customWidth="1"/>
    <col min="1819" max="1819" width="5.28515625" style="1" customWidth="1"/>
    <col min="1820" max="1822" width="4.7109375" style="1" customWidth="1"/>
    <col min="1823" max="1823" width="11.7109375" style="1" customWidth="1"/>
    <col min="1824" max="1824" width="10" style="1" customWidth="1"/>
    <col min="1825" max="1825" width="7.42578125" style="1" customWidth="1"/>
    <col min="1826" max="1826" width="7.140625" style="1" customWidth="1"/>
    <col min="1827" max="1827" width="6.42578125" style="1" customWidth="1"/>
    <col min="1828" max="2058" width="8.7109375" style="1"/>
    <col min="2059" max="2059" width="3.7109375" style="1" customWidth="1"/>
    <col min="2060" max="2060" width="4.28515625" style="1" customWidth="1"/>
    <col min="2061" max="2061" width="11.28515625" style="1" customWidth="1"/>
    <col min="2062" max="2062" width="13.42578125" style="1" customWidth="1"/>
    <col min="2063" max="2065" width="5.42578125" style="1" customWidth="1"/>
    <col min="2066" max="2066" width="8.28515625" style="1" customWidth="1"/>
    <col min="2067" max="2069" width="4.7109375" style="1" customWidth="1"/>
    <col min="2070" max="2070" width="11.7109375" style="1" customWidth="1"/>
    <col min="2071" max="2072" width="7" style="1" customWidth="1"/>
    <col min="2073" max="2073" width="6.42578125" style="1" customWidth="1"/>
    <col min="2074" max="2074" width="15" style="1" customWidth="1"/>
    <col min="2075" max="2075" width="5.28515625" style="1" customWidth="1"/>
    <col min="2076" max="2078" width="4.7109375" style="1" customWidth="1"/>
    <col min="2079" max="2079" width="11.7109375" style="1" customWidth="1"/>
    <col min="2080" max="2080" width="10" style="1" customWidth="1"/>
    <col min="2081" max="2081" width="7.42578125" style="1" customWidth="1"/>
    <col min="2082" max="2082" width="7.140625" style="1" customWidth="1"/>
    <col min="2083" max="2083" width="6.42578125" style="1" customWidth="1"/>
    <col min="2084" max="2314" width="8.7109375" style="1"/>
    <col min="2315" max="2315" width="3.7109375" style="1" customWidth="1"/>
    <col min="2316" max="2316" width="4.28515625" style="1" customWidth="1"/>
    <col min="2317" max="2317" width="11.28515625" style="1" customWidth="1"/>
    <col min="2318" max="2318" width="13.42578125" style="1" customWidth="1"/>
    <col min="2319" max="2321" width="5.42578125" style="1" customWidth="1"/>
    <col min="2322" max="2322" width="8.28515625" style="1" customWidth="1"/>
    <col min="2323" max="2325" width="4.7109375" style="1" customWidth="1"/>
    <col min="2326" max="2326" width="11.7109375" style="1" customWidth="1"/>
    <col min="2327" max="2328" width="7" style="1" customWidth="1"/>
    <col min="2329" max="2329" width="6.42578125" style="1" customWidth="1"/>
    <col min="2330" max="2330" width="15" style="1" customWidth="1"/>
    <col min="2331" max="2331" width="5.28515625" style="1" customWidth="1"/>
    <col min="2332" max="2334" width="4.7109375" style="1" customWidth="1"/>
    <col min="2335" max="2335" width="11.7109375" style="1" customWidth="1"/>
    <col min="2336" max="2336" width="10" style="1" customWidth="1"/>
    <col min="2337" max="2337" width="7.42578125" style="1" customWidth="1"/>
    <col min="2338" max="2338" width="7.140625" style="1" customWidth="1"/>
    <col min="2339" max="2339" width="6.42578125" style="1" customWidth="1"/>
    <col min="2340" max="2570" width="8.7109375" style="1"/>
    <col min="2571" max="2571" width="3.7109375" style="1" customWidth="1"/>
    <col min="2572" max="2572" width="4.28515625" style="1" customWidth="1"/>
    <col min="2573" max="2573" width="11.28515625" style="1" customWidth="1"/>
    <col min="2574" max="2574" width="13.42578125" style="1" customWidth="1"/>
    <col min="2575" max="2577" width="5.42578125" style="1" customWidth="1"/>
    <col min="2578" max="2578" width="8.28515625" style="1" customWidth="1"/>
    <col min="2579" max="2581" width="4.7109375" style="1" customWidth="1"/>
    <col min="2582" max="2582" width="11.7109375" style="1" customWidth="1"/>
    <col min="2583" max="2584" width="7" style="1" customWidth="1"/>
    <col min="2585" max="2585" width="6.42578125" style="1" customWidth="1"/>
    <col min="2586" max="2586" width="15" style="1" customWidth="1"/>
    <col min="2587" max="2587" width="5.28515625" style="1" customWidth="1"/>
    <col min="2588" max="2590" width="4.7109375" style="1" customWidth="1"/>
    <col min="2591" max="2591" width="11.7109375" style="1" customWidth="1"/>
    <col min="2592" max="2592" width="10" style="1" customWidth="1"/>
    <col min="2593" max="2593" width="7.42578125" style="1" customWidth="1"/>
    <col min="2594" max="2594" width="7.140625" style="1" customWidth="1"/>
    <col min="2595" max="2595" width="6.42578125" style="1" customWidth="1"/>
    <col min="2596" max="2826" width="8.7109375" style="1"/>
    <col min="2827" max="2827" width="3.7109375" style="1" customWidth="1"/>
    <col min="2828" max="2828" width="4.28515625" style="1" customWidth="1"/>
    <col min="2829" max="2829" width="11.28515625" style="1" customWidth="1"/>
    <col min="2830" max="2830" width="13.42578125" style="1" customWidth="1"/>
    <col min="2831" max="2833" width="5.42578125" style="1" customWidth="1"/>
    <col min="2834" max="2834" width="8.28515625" style="1" customWidth="1"/>
    <col min="2835" max="2837" width="4.7109375" style="1" customWidth="1"/>
    <col min="2838" max="2838" width="11.7109375" style="1" customWidth="1"/>
    <col min="2839" max="2840" width="7" style="1" customWidth="1"/>
    <col min="2841" max="2841" width="6.42578125" style="1" customWidth="1"/>
    <col min="2842" max="2842" width="15" style="1" customWidth="1"/>
    <col min="2843" max="2843" width="5.28515625" style="1" customWidth="1"/>
    <col min="2844" max="2846" width="4.7109375" style="1" customWidth="1"/>
    <col min="2847" max="2847" width="11.7109375" style="1" customWidth="1"/>
    <col min="2848" max="2848" width="10" style="1" customWidth="1"/>
    <col min="2849" max="2849" width="7.42578125" style="1" customWidth="1"/>
    <col min="2850" max="2850" width="7.140625" style="1" customWidth="1"/>
    <col min="2851" max="2851" width="6.42578125" style="1" customWidth="1"/>
    <col min="2852" max="3082" width="8.7109375" style="1"/>
    <col min="3083" max="3083" width="3.7109375" style="1" customWidth="1"/>
    <col min="3084" max="3084" width="4.28515625" style="1" customWidth="1"/>
    <col min="3085" max="3085" width="11.28515625" style="1" customWidth="1"/>
    <col min="3086" max="3086" width="13.42578125" style="1" customWidth="1"/>
    <col min="3087" max="3089" width="5.42578125" style="1" customWidth="1"/>
    <col min="3090" max="3090" width="8.28515625" style="1" customWidth="1"/>
    <col min="3091" max="3093" width="4.7109375" style="1" customWidth="1"/>
    <col min="3094" max="3094" width="11.7109375" style="1" customWidth="1"/>
    <col min="3095" max="3096" width="7" style="1" customWidth="1"/>
    <col min="3097" max="3097" width="6.42578125" style="1" customWidth="1"/>
    <col min="3098" max="3098" width="15" style="1" customWidth="1"/>
    <col min="3099" max="3099" width="5.28515625" style="1" customWidth="1"/>
    <col min="3100" max="3102" width="4.7109375" style="1" customWidth="1"/>
    <col min="3103" max="3103" width="11.7109375" style="1" customWidth="1"/>
    <col min="3104" max="3104" width="10" style="1" customWidth="1"/>
    <col min="3105" max="3105" width="7.42578125" style="1" customWidth="1"/>
    <col min="3106" max="3106" width="7.140625" style="1" customWidth="1"/>
    <col min="3107" max="3107" width="6.42578125" style="1" customWidth="1"/>
    <col min="3108" max="3338" width="8.7109375" style="1"/>
    <col min="3339" max="3339" width="3.7109375" style="1" customWidth="1"/>
    <col min="3340" max="3340" width="4.28515625" style="1" customWidth="1"/>
    <col min="3341" max="3341" width="11.28515625" style="1" customWidth="1"/>
    <col min="3342" max="3342" width="13.42578125" style="1" customWidth="1"/>
    <col min="3343" max="3345" width="5.42578125" style="1" customWidth="1"/>
    <col min="3346" max="3346" width="8.28515625" style="1" customWidth="1"/>
    <col min="3347" max="3349" width="4.7109375" style="1" customWidth="1"/>
    <col min="3350" max="3350" width="11.7109375" style="1" customWidth="1"/>
    <col min="3351" max="3352" width="7" style="1" customWidth="1"/>
    <col min="3353" max="3353" width="6.42578125" style="1" customWidth="1"/>
    <col min="3354" max="3354" width="15" style="1" customWidth="1"/>
    <col min="3355" max="3355" width="5.28515625" style="1" customWidth="1"/>
    <col min="3356" max="3358" width="4.7109375" style="1" customWidth="1"/>
    <col min="3359" max="3359" width="11.7109375" style="1" customWidth="1"/>
    <col min="3360" max="3360" width="10" style="1" customWidth="1"/>
    <col min="3361" max="3361" width="7.42578125" style="1" customWidth="1"/>
    <col min="3362" max="3362" width="7.140625" style="1" customWidth="1"/>
    <col min="3363" max="3363" width="6.42578125" style="1" customWidth="1"/>
    <col min="3364" max="3594" width="8.7109375" style="1"/>
    <col min="3595" max="3595" width="3.7109375" style="1" customWidth="1"/>
    <col min="3596" max="3596" width="4.28515625" style="1" customWidth="1"/>
    <col min="3597" max="3597" width="11.28515625" style="1" customWidth="1"/>
    <col min="3598" max="3598" width="13.42578125" style="1" customWidth="1"/>
    <col min="3599" max="3601" width="5.42578125" style="1" customWidth="1"/>
    <col min="3602" max="3602" width="8.28515625" style="1" customWidth="1"/>
    <col min="3603" max="3605" width="4.7109375" style="1" customWidth="1"/>
    <col min="3606" max="3606" width="11.7109375" style="1" customWidth="1"/>
    <col min="3607" max="3608" width="7" style="1" customWidth="1"/>
    <col min="3609" max="3609" width="6.42578125" style="1" customWidth="1"/>
    <col min="3610" max="3610" width="15" style="1" customWidth="1"/>
    <col min="3611" max="3611" width="5.28515625" style="1" customWidth="1"/>
    <col min="3612" max="3614" width="4.7109375" style="1" customWidth="1"/>
    <col min="3615" max="3615" width="11.7109375" style="1" customWidth="1"/>
    <col min="3616" max="3616" width="10" style="1" customWidth="1"/>
    <col min="3617" max="3617" width="7.42578125" style="1" customWidth="1"/>
    <col min="3618" max="3618" width="7.140625" style="1" customWidth="1"/>
    <col min="3619" max="3619" width="6.42578125" style="1" customWidth="1"/>
    <col min="3620" max="3850" width="8.7109375" style="1"/>
    <col min="3851" max="3851" width="3.7109375" style="1" customWidth="1"/>
    <col min="3852" max="3852" width="4.28515625" style="1" customWidth="1"/>
    <col min="3853" max="3853" width="11.28515625" style="1" customWidth="1"/>
    <col min="3854" max="3854" width="13.42578125" style="1" customWidth="1"/>
    <col min="3855" max="3857" width="5.42578125" style="1" customWidth="1"/>
    <col min="3858" max="3858" width="8.28515625" style="1" customWidth="1"/>
    <col min="3859" max="3861" width="4.7109375" style="1" customWidth="1"/>
    <col min="3862" max="3862" width="11.7109375" style="1" customWidth="1"/>
    <col min="3863" max="3864" width="7" style="1" customWidth="1"/>
    <col min="3865" max="3865" width="6.42578125" style="1" customWidth="1"/>
    <col min="3866" max="3866" width="15" style="1" customWidth="1"/>
    <col min="3867" max="3867" width="5.28515625" style="1" customWidth="1"/>
    <col min="3868" max="3870" width="4.7109375" style="1" customWidth="1"/>
    <col min="3871" max="3871" width="11.7109375" style="1" customWidth="1"/>
    <col min="3872" max="3872" width="10" style="1" customWidth="1"/>
    <col min="3873" max="3873" width="7.42578125" style="1" customWidth="1"/>
    <col min="3874" max="3874" width="7.140625" style="1" customWidth="1"/>
    <col min="3875" max="3875" width="6.42578125" style="1" customWidth="1"/>
    <col min="3876" max="4106" width="8.7109375" style="1"/>
    <col min="4107" max="4107" width="3.7109375" style="1" customWidth="1"/>
    <col min="4108" max="4108" width="4.28515625" style="1" customWidth="1"/>
    <col min="4109" max="4109" width="11.28515625" style="1" customWidth="1"/>
    <col min="4110" max="4110" width="13.42578125" style="1" customWidth="1"/>
    <col min="4111" max="4113" width="5.42578125" style="1" customWidth="1"/>
    <col min="4114" max="4114" width="8.28515625" style="1" customWidth="1"/>
    <col min="4115" max="4117" width="4.7109375" style="1" customWidth="1"/>
    <col min="4118" max="4118" width="11.7109375" style="1" customWidth="1"/>
    <col min="4119" max="4120" width="7" style="1" customWidth="1"/>
    <col min="4121" max="4121" width="6.42578125" style="1" customWidth="1"/>
    <col min="4122" max="4122" width="15" style="1" customWidth="1"/>
    <col min="4123" max="4123" width="5.28515625" style="1" customWidth="1"/>
    <col min="4124" max="4126" width="4.7109375" style="1" customWidth="1"/>
    <col min="4127" max="4127" width="11.7109375" style="1" customWidth="1"/>
    <col min="4128" max="4128" width="10" style="1" customWidth="1"/>
    <col min="4129" max="4129" width="7.42578125" style="1" customWidth="1"/>
    <col min="4130" max="4130" width="7.140625" style="1" customWidth="1"/>
    <col min="4131" max="4131" width="6.42578125" style="1" customWidth="1"/>
    <col min="4132" max="4362" width="8.7109375" style="1"/>
    <col min="4363" max="4363" width="3.7109375" style="1" customWidth="1"/>
    <col min="4364" max="4364" width="4.28515625" style="1" customWidth="1"/>
    <col min="4365" max="4365" width="11.28515625" style="1" customWidth="1"/>
    <col min="4366" max="4366" width="13.42578125" style="1" customWidth="1"/>
    <col min="4367" max="4369" width="5.42578125" style="1" customWidth="1"/>
    <col min="4370" max="4370" width="8.28515625" style="1" customWidth="1"/>
    <col min="4371" max="4373" width="4.7109375" style="1" customWidth="1"/>
    <col min="4374" max="4374" width="11.7109375" style="1" customWidth="1"/>
    <col min="4375" max="4376" width="7" style="1" customWidth="1"/>
    <col min="4377" max="4377" width="6.42578125" style="1" customWidth="1"/>
    <col min="4378" max="4378" width="15" style="1" customWidth="1"/>
    <col min="4379" max="4379" width="5.28515625" style="1" customWidth="1"/>
    <col min="4380" max="4382" width="4.7109375" style="1" customWidth="1"/>
    <col min="4383" max="4383" width="11.7109375" style="1" customWidth="1"/>
    <col min="4384" max="4384" width="10" style="1" customWidth="1"/>
    <col min="4385" max="4385" width="7.42578125" style="1" customWidth="1"/>
    <col min="4386" max="4386" width="7.140625" style="1" customWidth="1"/>
    <col min="4387" max="4387" width="6.42578125" style="1" customWidth="1"/>
    <col min="4388" max="4618" width="8.7109375" style="1"/>
    <col min="4619" max="4619" width="3.7109375" style="1" customWidth="1"/>
    <col min="4620" max="4620" width="4.28515625" style="1" customWidth="1"/>
    <col min="4621" max="4621" width="11.28515625" style="1" customWidth="1"/>
    <col min="4622" max="4622" width="13.42578125" style="1" customWidth="1"/>
    <col min="4623" max="4625" width="5.42578125" style="1" customWidth="1"/>
    <col min="4626" max="4626" width="8.28515625" style="1" customWidth="1"/>
    <col min="4627" max="4629" width="4.7109375" style="1" customWidth="1"/>
    <col min="4630" max="4630" width="11.7109375" style="1" customWidth="1"/>
    <col min="4631" max="4632" width="7" style="1" customWidth="1"/>
    <col min="4633" max="4633" width="6.42578125" style="1" customWidth="1"/>
    <col min="4634" max="4634" width="15" style="1" customWidth="1"/>
    <col min="4635" max="4635" width="5.28515625" style="1" customWidth="1"/>
    <col min="4636" max="4638" width="4.7109375" style="1" customWidth="1"/>
    <col min="4639" max="4639" width="11.7109375" style="1" customWidth="1"/>
    <col min="4640" max="4640" width="10" style="1" customWidth="1"/>
    <col min="4641" max="4641" width="7.42578125" style="1" customWidth="1"/>
    <col min="4642" max="4642" width="7.140625" style="1" customWidth="1"/>
    <col min="4643" max="4643" width="6.42578125" style="1" customWidth="1"/>
    <col min="4644" max="4874" width="8.7109375" style="1"/>
    <col min="4875" max="4875" width="3.7109375" style="1" customWidth="1"/>
    <col min="4876" max="4876" width="4.28515625" style="1" customWidth="1"/>
    <col min="4877" max="4877" width="11.28515625" style="1" customWidth="1"/>
    <col min="4878" max="4878" width="13.42578125" style="1" customWidth="1"/>
    <col min="4879" max="4881" width="5.42578125" style="1" customWidth="1"/>
    <col min="4882" max="4882" width="8.28515625" style="1" customWidth="1"/>
    <col min="4883" max="4885" width="4.7109375" style="1" customWidth="1"/>
    <col min="4886" max="4886" width="11.7109375" style="1" customWidth="1"/>
    <col min="4887" max="4888" width="7" style="1" customWidth="1"/>
    <col min="4889" max="4889" width="6.42578125" style="1" customWidth="1"/>
    <col min="4890" max="4890" width="15" style="1" customWidth="1"/>
    <col min="4891" max="4891" width="5.28515625" style="1" customWidth="1"/>
    <col min="4892" max="4894" width="4.7109375" style="1" customWidth="1"/>
    <col min="4895" max="4895" width="11.7109375" style="1" customWidth="1"/>
    <col min="4896" max="4896" width="10" style="1" customWidth="1"/>
    <col min="4897" max="4897" width="7.42578125" style="1" customWidth="1"/>
    <col min="4898" max="4898" width="7.140625" style="1" customWidth="1"/>
    <col min="4899" max="4899" width="6.42578125" style="1" customWidth="1"/>
    <col min="4900" max="5130" width="8.7109375" style="1"/>
    <col min="5131" max="5131" width="3.7109375" style="1" customWidth="1"/>
    <col min="5132" max="5132" width="4.28515625" style="1" customWidth="1"/>
    <col min="5133" max="5133" width="11.28515625" style="1" customWidth="1"/>
    <col min="5134" max="5134" width="13.42578125" style="1" customWidth="1"/>
    <col min="5135" max="5137" width="5.42578125" style="1" customWidth="1"/>
    <col min="5138" max="5138" width="8.28515625" style="1" customWidth="1"/>
    <col min="5139" max="5141" width="4.7109375" style="1" customWidth="1"/>
    <col min="5142" max="5142" width="11.7109375" style="1" customWidth="1"/>
    <col min="5143" max="5144" width="7" style="1" customWidth="1"/>
    <col min="5145" max="5145" width="6.42578125" style="1" customWidth="1"/>
    <col min="5146" max="5146" width="15" style="1" customWidth="1"/>
    <col min="5147" max="5147" width="5.28515625" style="1" customWidth="1"/>
    <col min="5148" max="5150" width="4.7109375" style="1" customWidth="1"/>
    <col min="5151" max="5151" width="11.7109375" style="1" customWidth="1"/>
    <col min="5152" max="5152" width="10" style="1" customWidth="1"/>
    <col min="5153" max="5153" width="7.42578125" style="1" customWidth="1"/>
    <col min="5154" max="5154" width="7.140625" style="1" customWidth="1"/>
    <col min="5155" max="5155" width="6.42578125" style="1" customWidth="1"/>
    <col min="5156" max="5386" width="8.7109375" style="1"/>
    <col min="5387" max="5387" width="3.7109375" style="1" customWidth="1"/>
    <col min="5388" max="5388" width="4.28515625" style="1" customWidth="1"/>
    <col min="5389" max="5389" width="11.28515625" style="1" customWidth="1"/>
    <col min="5390" max="5390" width="13.42578125" style="1" customWidth="1"/>
    <col min="5391" max="5393" width="5.42578125" style="1" customWidth="1"/>
    <col min="5394" max="5394" width="8.28515625" style="1" customWidth="1"/>
    <col min="5395" max="5397" width="4.7109375" style="1" customWidth="1"/>
    <col min="5398" max="5398" width="11.7109375" style="1" customWidth="1"/>
    <col min="5399" max="5400" width="7" style="1" customWidth="1"/>
    <col min="5401" max="5401" width="6.42578125" style="1" customWidth="1"/>
    <col min="5402" max="5402" width="15" style="1" customWidth="1"/>
    <col min="5403" max="5403" width="5.28515625" style="1" customWidth="1"/>
    <col min="5404" max="5406" width="4.7109375" style="1" customWidth="1"/>
    <col min="5407" max="5407" width="11.7109375" style="1" customWidth="1"/>
    <col min="5408" max="5408" width="10" style="1" customWidth="1"/>
    <col min="5409" max="5409" width="7.42578125" style="1" customWidth="1"/>
    <col min="5410" max="5410" width="7.140625" style="1" customWidth="1"/>
    <col min="5411" max="5411" width="6.42578125" style="1" customWidth="1"/>
    <col min="5412" max="5642" width="8.7109375" style="1"/>
    <col min="5643" max="5643" width="3.7109375" style="1" customWidth="1"/>
    <col min="5644" max="5644" width="4.28515625" style="1" customWidth="1"/>
    <col min="5645" max="5645" width="11.28515625" style="1" customWidth="1"/>
    <col min="5646" max="5646" width="13.42578125" style="1" customWidth="1"/>
    <col min="5647" max="5649" width="5.42578125" style="1" customWidth="1"/>
    <col min="5650" max="5650" width="8.28515625" style="1" customWidth="1"/>
    <col min="5651" max="5653" width="4.7109375" style="1" customWidth="1"/>
    <col min="5654" max="5654" width="11.7109375" style="1" customWidth="1"/>
    <col min="5655" max="5656" width="7" style="1" customWidth="1"/>
    <col min="5657" max="5657" width="6.42578125" style="1" customWidth="1"/>
    <col min="5658" max="5658" width="15" style="1" customWidth="1"/>
    <col min="5659" max="5659" width="5.28515625" style="1" customWidth="1"/>
    <col min="5660" max="5662" width="4.7109375" style="1" customWidth="1"/>
    <col min="5663" max="5663" width="11.7109375" style="1" customWidth="1"/>
    <col min="5664" max="5664" width="10" style="1" customWidth="1"/>
    <col min="5665" max="5665" width="7.42578125" style="1" customWidth="1"/>
    <col min="5666" max="5666" width="7.140625" style="1" customWidth="1"/>
    <col min="5667" max="5667" width="6.42578125" style="1" customWidth="1"/>
    <col min="5668" max="5898" width="8.7109375" style="1"/>
    <col min="5899" max="5899" width="3.7109375" style="1" customWidth="1"/>
    <col min="5900" max="5900" width="4.28515625" style="1" customWidth="1"/>
    <col min="5901" max="5901" width="11.28515625" style="1" customWidth="1"/>
    <col min="5902" max="5902" width="13.42578125" style="1" customWidth="1"/>
    <col min="5903" max="5905" width="5.42578125" style="1" customWidth="1"/>
    <col min="5906" max="5906" width="8.28515625" style="1" customWidth="1"/>
    <col min="5907" max="5909" width="4.7109375" style="1" customWidth="1"/>
    <col min="5910" max="5910" width="11.7109375" style="1" customWidth="1"/>
    <col min="5911" max="5912" width="7" style="1" customWidth="1"/>
    <col min="5913" max="5913" width="6.42578125" style="1" customWidth="1"/>
    <col min="5914" max="5914" width="15" style="1" customWidth="1"/>
    <col min="5915" max="5915" width="5.28515625" style="1" customWidth="1"/>
    <col min="5916" max="5918" width="4.7109375" style="1" customWidth="1"/>
    <col min="5919" max="5919" width="11.7109375" style="1" customWidth="1"/>
    <col min="5920" max="5920" width="10" style="1" customWidth="1"/>
    <col min="5921" max="5921" width="7.42578125" style="1" customWidth="1"/>
    <col min="5922" max="5922" width="7.140625" style="1" customWidth="1"/>
    <col min="5923" max="5923" width="6.42578125" style="1" customWidth="1"/>
    <col min="5924" max="6154" width="8.7109375" style="1"/>
    <col min="6155" max="6155" width="3.7109375" style="1" customWidth="1"/>
    <col min="6156" max="6156" width="4.28515625" style="1" customWidth="1"/>
    <col min="6157" max="6157" width="11.28515625" style="1" customWidth="1"/>
    <col min="6158" max="6158" width="13.42578125" style="1" customWidth="1"/>
    <col min="6159" max="6161" width="5.42578125" style="1" customWidth="1"/>
    <col min="6162" max="6162" width="8.28515625" style="1" customWidth="1"/>
    <col min="6163" max="6165" width="4.7109375" style="1" customWidth="1"/>
    <col min="6166" max="6166" width="11.7109375" style="1" customWidth="1"/>
    <col min="6167" max="6168" width="7" style="1" customWidth="1"/>
    <col min="6169" max="6169" width="6.42578125" style="1" customWidth="1"/>
    <col min="6170" max="6170" width="15" style="1" customWidth="1"/>
    <col min="6171" max="6171" width="5.28515625" style="1" customWidth="1"/>
    <col min="6172" max="6174" width="4.7109375" style="1" customWidth="1"/>
    <col min="6175" max="6175" width="11.7109375" style="1" customWidth="1"/>
    <col min="6176" max="6176" width="10" style="1" customWidth="1"/>
    <col min="6177" max="6177" width="7.42578125" style="1" customWidth="1"/>
    <col min="6178" max="6178" width="7.140625" style="1" customWidth="1"/>
    <col min="6179" max="6179" width="6.42578125" style="1" customWidth="1"/>
    <col min="6180" max="6410" width="8.7109375" style="1"/>
    <col min="6411" max="6411" width="3.7109375" style="1" customWidth="1"/>
    <col min="6412" max="6412" width="4.28515625" style="1" customWidth="1"/>
    <col min="6413" max="6413" width="11.28515625" style="1" customWidth="1"/>
    <col min="6414" max="6414" width="13.42578125" style="1" customWidth="1"/>
    <col min="6415" max="6417" width="5.42578125" style="1" customWidth="1"/>
    <col min="6418" max="6418" width="8.28515625" style="1" customWidth="1"/>
    <col min="6419" max="6421" width="4.7109375" style="1" customWidth="1"/>
    <col min="6422" max="6422" width="11.7109375" style="1" customWidth="1"/>
    <col min="6423" max="6424" width="7" style="1" customWidth="1"/>
    <col min="6425" max="6425" width="6.42578125" style="1" customWidth="1"/>
    <col min="6426" max="6426" width="15" style="1" customWidth="1"/>
    <col min="6427" max="6427" width="5.28515625" style="1" customWidth="1"/>
    <col min="6428" max="6430" width="4.7109375" style="1" customWidth="1"/>
    <col min="6431" max="6431" width="11.7109375" style="1" customWidth="1"/>
    <col min="6432" max="6432" width="10" style="1" customWidth="1"/>
    <col min="6433" max="6433" width="7.42578125" style="1" customWidth="1"/>
    <col min="6434" max="6434" width="7.140625" style="1" customWidth="1"/>
    <col min="6435" max="6435" width="6.42578125" style="1" customWidth="1"/>
    <col min="6436" max="6666" width="8.7109375" style="1"/>
    <col min="6667" max="6667" width="3.7109375" style="1" customWidth="1"/>
    <col min="6668" max="6668" width="4.28515625" style="1" customWidth="1"/>
    <col min="6669" max="6669" width="11.28515625" style="1" customWidth="1"/>
    <col min="6670" max="6670" width="13.42578125" style="1" customWidth="1"/>
    <col min="6671" max="6673" width="5.42578125" style="1" customWidth="1"/>
    <col min="6674" max="6674" width="8.28515625" style="1" customWidth="1"/>
    <col min="6675" max="6677" width="4.7109375" style="1" customWidth="1"/>
    <col min="6678" max="6678" width="11.7109375" style="1" customWidth="1"/>
    <col min="6679" max="6680" width="7" style="1" customWidth="1"/>
    <col min="6681" max="6681" width="6.42578125" style="1" customWidth="1"/>
    <col min="6682" max="6682" width="15" style="1" customWidth="1"/>
    <col min="6683" max="6683" width="5.28515625" style="1" customWidth="1"/>
    <col min="6684" max="6686" width="4.7109375" style="1" customWidth="1"/>
    <col min="6687" max="6687" width="11.7109375" style="1" customWidth="1"/>
    <col min="6688" max="6688" width="10" style="1" customWidth="1"/>
    <col min="6689" max="6689" width="7.42578125" style="1" customWidth="1"/>
    <col min="6690" max="6690" width="7.140625" style="1" customWidth="1"/>
    <col min="6691" max="6691" width="6.42578125" style="1" customWidth="1"/>
    <col min="6692" max="6922" width="8.7109375" style="1"/>
    <col min="6923" max="6923" width="3.7109375" style="1" customWidth="1"/>
    <col min="6924" max="6924" width="4.28515625" style="1" customWidth="1"/>
    <col min="6925" max="6925" width="11.28515625" style="1" customWidth="1"/>
    <col min="6926" max="6926" width="13.42578125" style="1" customWidth="1"/>
    <col min="6927" max="6929" width="5.42578125" style="1" customWidth="1"/>
    <col min="6930" max="6930" width="8.28515625" style="1" customWidth="1"/>
    <col min="6931" max="6933" width="4.7109375" style="1" customWidth="1"/>
    <col min="6934" max="6934" width="11.7109375" style="1" customWidth="1"/>
    <col min="6935" max="6936" width="7" style="1" customWidth="1"/>
    <col min="6937" max="6937" width="6.42578125" style="1" customWidth="1"/>
    <col min="6938" max="6938" width="15" style="1" customWidth="1"/>
    <col min="6939" max="6939" width="5.28515625" style="1" customWidth="1"/>
    <col min="6940" max="6942" width="4.7109375" style="1" customWidth="1"/>
    <col min="6943" max="6943" width="11.7109375" style="1" customWidth="1"/>
    <col min="6944" max="6944" width="10" style="1" customWidth="1"/>
    <col min="6945" max="6945" width="7.42578125" style="1" customWidth="1"/>
    <col min="6946" max="6946" width="7.140625" style="1" customWidth="1"/>
    <col min="6947" max="6947" width="6.42578125" style="1" customWidth="1"/>
    <col min="6948" max="7178" width="8.7109375" style="1"/>
    <col min="7179" max="7179" width="3.7109375" style="1" customWidth="1"/>
    <col min="7180" max="7180" width="4.28515625" style="1" customWidth="1"/>
    <col min="7181" max="7181" width="11.28515625" style="1" customWidth="1"/>
    <col min="7182" max="7182" width="13.42578125" style="1" customWidth="1"/>
    <col min="7183" max="7185" width="5.42578125" style="1" customWidth="1"/>
    <col min="7186" max="7186" width="8.28515625" style="1" customWidth="1"/>
    <col min="7187" max="7189" width="4.7109375" style="1" customWidth="1"/>
    <col min="7190" max="7190" width="11.7109375" style="1" customWidth="1"/>
    <col min="7191" max="7192" width="7" style="1" customWidth="1"/>
    <col min="7193" max="7193" width="6.42578125" style="1" customWidth="1"/>
    <col min="7194" max="7194" width="15" style="1" customWidth="1"/>
    <col min="7195" max="7195" width="5.28515625" style="1" customWidth="1"/>
    <col min="7196" max="7198" width="4.7109375" style="1" customWidth="1"/>
    <col min="7199" max="7199" width="11.7109375" style="1" customWidth="1"/>
    <col min="7200" max="7200" width="10" style="1" customWidth="1"/>
    <col min="7201" max="7201" width="7.42578125" style="1" customWidth="1"/>
    <col min="7202" max="7202" width="7.140625" style="1" customWidth="1"/>
    <col min="7203" max="7203" width="6.42578125" style="1" customWidth="1"/>
    <col min="7204" max="7434" width="8.7109375" style="1"/>
    <col min="7435" max="7435" width="3.7109375" style="1" customWidth="1"/>
    <col min="7436" max="7436" width="4.28515625" style="1" customWidth="1"/>
    <col min="7437" max="7437" width="11.28515625" style="1" customWidth="1"/>
    <col min="7438" max="7438" width="13.42578125" style="1" customWidth="1"/>
    <col min="7439" max="7441" width="5.42578125" style="1" customWidth="1"/>
    <col min="7442" max="7442" width="8.28515625" style="1" customWidth="1"/>
    <col min="7443" max="7445" width="4.7109375" style="1" customWidth="1"/>
    <col min="7446" max="7446" width="11.7109375" style="1" customWidth="1"/>
    <col min="7447" max="7448" width="7" style="1" customWidth="1"/>
    <col min="7449" max="7449" width="6.42578125" style="1" customWidth="1"/>
    <col min="7450" max="7450" width="15" style="1" customWidth="1"/>
    <col min="7451" max="7451" width="5.28515625" style="1" customWidth="1"/>
    <col min="7452" max="7454" width="4.7109375" style="1" customWidth="1"/>
    <col min="7455" max="7455" width="11.7109375" style="1" customWidth="1"/>
    <col min="7456" max="7456" width="10" style="1" customWidth="1"/>
    <col min="7457" max="7457" width="7.42578125" style="1" customWidth="1"/>
    <col min="7458" max="7458" width="7.140625" style="1" customWidth="1"/>
    <col min="7459" max="7459" width="6.42578125" style="1" customWidth="1"/>
    <col min="7460" max="7690" width="8.7109375" style="1"/>
    <col min="7691" max="7691" width="3.7109375" style="1" customWidth="1"/>
    <col min="7692" max="7692" width="4.28515625" style="1" customWidth="1"/>
    <col min="7693" max="7693" width="11.28515625" style="1" customWidth="1"/>
    <col min="7694" max="7694" width="13.42578125" style="1" customWidth="1"/>
    <col min="7695" max="7697" width="5.42578125" style="1" customWidth="1"/>
    <col min="7698" max="7698" width="8.28515625" style="1" customWidth="1"/>
    <col min="7699" max="7701" width="4.7109375" style="1" customWidth="1"/>
    <col min="7702" max="7702" width="11.7109375" style="1" customWidth="1"/>
    <col min="7703" max="7704" width="7" style="1" customWidth="1"/>
    <col min="7705" max="7705" width="6.42578125" style="1" customWidth="1"/>
    <col min="7706" max="7706" width="15" style="1" customWidth="1"/>
    <col min="7707" max="7707" width="5.28515625" style="1" customWidth="1"/>
    <col min="7708" max="7710" width="4.7109375" style="1" customWidth="1"/>
    <col min="7711" max="7711" width="11.7109375" style="1" customWidth="1"/>
    <col min="7712" max="7712" width="10" style="1" customWidth="1"/>
    <col min="7713" max="7713" width="7.42578125" style="1" customWidth="1"/>
    <col min="7714" max="7714" width="7.140625" style="1" customWidth="1"/>
    <col min="7715" max="7715" width="6.42578125" style="1" customWidth="1"/>
    <col min="7716" max="7946" width="8.7109375" style="1"/>
    <col min="7947" max="7947" width="3.7109375" style="1" customWidth="1"/>
    <col min="7948" max="7948" width="4.28515625" style="1" customWidth="1"/>
    <col min="7949" max="7949" width="11.28515625" style="1" customWidth="1"/>
    <col min="7950" max="7950" width="13.42578125" style="1" customWidth="1"/>
    <col min="7951" max="7953" width="5.42578125" style="1" customWidth="1"/>
    <col min="7954" max="7954" width="8.28515625" style="1" customWidth="1"/>
    <col min="7955" max="7957" width="4.7109375" style="1" customWidth="1"/>
    <col min="7958" max="7958" width="11.7109375" style="1" customWidth="1"/>
    <col min="7959" max="7960" width="7" style="1" customWidth="1"/>
    <col min="7961" max="7961" width="6.42578125" style="1" customWidth="1"/>
    <col min="7962" max="7962" width="15" style="1" customWidth="1"/>
    <col min="7963" max="7963" width="5.28515625" style="1" customWidth="1"/>
    <col min="7964" max="7966" width="4.7109375" style="1" customWidth="1"/>
    <col min="7967" max="7967" width="11.7109375" style="1" customWidth="1"/>
    <col min="7968" max="7968" width="10" style="1" customWidth="1"/>
    <col min="7969" max="7969" width="7.42578125" style="1" customWidth="1"/>
    <col min="7970" max="7970" width="7.140625" style="1" customWidth="1"/>
    <col min="7971" max="7971" width="6.42578125" style="1" customWidth="1"/>
    <col min="7972" max="8202" width="8.7109375" style="1"/>
    <col min="8203" max="8203" width="3.7109375" style="1" customWidth="1"/>
    <col min="8204" max="8204" width="4.28515625" style="1" customWidth="1"/>
    <col min="8205" max="8205" width="11.28515625" style="1" customWidth="1"/>
    <col min="8206" max="8206" width="13.42578125" style="1" customWidth="1"/>
    <col min="8207" max="8209" width="5.42578125" style="1" customWidth="1"/>
    <col min="8210" max="8210" width="8.28515625" style="1" customWidth="1"/>
    <col min="8211" max="8213" width="4.7109375" style="1" customWidth="1"/>
    <col min="8214" max="8214" width="11.7109375" style="1" customWidth="1"/>
    <col min="8215" max="8216" width="7" style="1" customWidth="1"/>
    <col min="8217" max="8217" width="6.42578125" style="1" customWidth="1"/>
    <col min="8218" max="8218" width="15" style="1" customWidth="1"/>
    <col min="8219" max="8219" width="5.28515625" style="1" customWidth="1"/>
    <col min="8220" max="8222" width="4.7109375" style="1" customWidth="1"/>
    <col min="8223" max="8223" width="11.7109375" style="1" customWidth="1"/>
    <col min="8224" max="8224" width="10" style="1" customWidth="1"/>
    <col min="8225" max="8225" width="7.42578125" style="1" customWidth="1"/>
    <col min="8226" max="8226" width="7.140625" style="1" customWidth="1"/>
    <col min="8227" max="8227" width="6.42578125" style="1" customWidth="1"/>
    <col min="8228" max="8458" width="8.7109375" style="1"/>
    <col min="8459" max="8459" width="3.7109375" style="1" customWidth="1"/>
    <col min="8460" max="8460" width="4.28515625" style="1" customWidth="1"/>
    <col min="8461" max="8461" width="11.28515625" style="1" customWidth="1"/>
    <col min="8462" max="8462" width="13.42578125" style="1" customWidth="1"/>
    <col min="8463" max="8465" width="5.42578125" style="1" customWidth="1"/>
    <col min="8466" max="8466" width="8.28515625" style="1" customWidth="1"/>
    <col min="8467" max="8469" width="4.7109375" style="1" customWidth="1"/>
    <col min="8470" max="8470" width="11.7109375" style="1" customWidth="1"/>
    <col min="8471" max="8472" width="7" style="1" customWidth="1"/>
    <col min="8473" max="8473" width="6.42578125" style="1" customWidth="1"/>
    <col min="8474" max="8474" width="15" style="1" customWidth="1"/>
    <col min="8475" max="8475" width="5.28515625" style="1" customWidth="1"/>
    <col min="8476" max="8478" width="4.7109375" style="1" customWidth="1"/>
    <col min="8479" max="8479" width="11.7109375" style="1" customWidth="1"/>
    <col min="8480" max="8480" width="10" style="1" customWidth="1"/>
    <col min="8481" max="8481" width="7.42578125" style="1" customWidth="1"/>
    <col min="8482" max="8482" width="7.140625" style="1" customWidth="1"/>
    <col min="8483" max="8483" width="6.42578125" style="1" customWidth="1"/>
    <col min="8484" max="8714" width="8.7109375" style="1"/>
    <col min="8715" max="8715" width="3.7109375" style="1" customWidth="1"/>
    <col min="8716" max="8716" width="4.28515625" style="1" customWidth="1"/>
    <col min="8717" max="8717" width="11.28515625" style="1" customWidth="1"/>
    <col min="8718" max="8718" width="13.42578125" style="1" customWidth="1"/>
    <col min="8719" max="8721" width="5.42578125" style="1" customWidth="1"/>
    <col min="8722" max="8722" width="8.28515625" style="1" customWidth="1"/>
    <col min="8723" max="8725" width="4.7109375" style="1" customWidth="1"/>
    <col min="8726" max="8726" width="11.7109375" style="1" customWidth="1"/>
    <col min="8727" max="8728" width="7" style="1" customWidth="1"/>
    <col min="8729" max="8729" width="6.42578125" style="1" customWidth="1"/>
    <col min="8730" max="8730" width="15" style="1" customWidth="1"/>
    <col min="8731" max="8731" width="5.28515625" style="1" customWidth="1"/>
    <col min="8732" max="8734" width="4.7109375" style="1" customWidth="1"/>
    <col min="8735" max="8735" width="11.7109375" style="1" customWidth="1"/>
    <col min="8736" max="8736" width="10" style="1" customWidth="1"/>
    <col min="8737" max="8737" width="7.42578125" style="1" customWidth="1"/>
    <col min="8738" max="8738" width="7.140625" style="1" customWidth="1"/>
    <col min="8739" max="8739" width="6.42578125" style="1" customWidth="1"/>
    <col min="8740" max="8970" width="8.7109375" style="1"/>
    <col min="8971" max="8971" width="3.7109375" style="1" customWidth="1"/>
    <col min="8972" max="8972" width="4.28515625" style="1" customWidth="1"/>
    <col min="8973" max="8973" width="11.28515625" style="1" customWidth="1"/>
    <col min="8974" max="8974" width="13.42578125" style="1" customWidth="1"/>
    <col min="8975" max="8977" width="5.42578125" style="1" customWidth="1"/>
    <col min="8978" max="8978" width="8.28515625" style="1" customWidth="1"/>
    <col min="8979" max="8981" width="4.7109375" style="1" customWidth="1"/>
    <col min="8982" max="8982" width="11.7109375" style="1" customWidth="1"/>
    <col min="8983" max="8984" width="7" style="1" customWidth="1"/>
    <col min="8985" max="8985" width="6.42578125" style="1" customWidth="1"/>
    <col min="8986" max="8986" width="15" style="1" customWidth="1"/>
    <col min="8987" max="8987" width="5.28515625" style="1" customWidth="1"/>
    <col min="8988" max="8990" width="4.7109375" style="1" customWidth="1"/>
    <col min="8991" max="8991" width="11.7109375" style="1" customWidth="1"/>
    <col min="8992" max="8992" width="10" style="1" customWidth="1"/>
    <col min="8993" max="8993" width="7.42578125" style="1" customWidth="1"/>
    <col min="8994" max="8994" width="7.140625" style="1" customWidth="1"/>
    <col min="8995" max="8995" width="6.42578125" style="1" customWidth="1"/>
    <col min="8996" max="9226" width="8.7109375" style="1"/>
    <col min="9227" max="9227" width="3.7109375" style="1" customWidth="1"/>
    <col min="9228" max="9228" width="4.28515625" style="1" customWidth="1"/>
    <col min="9229" max="9229" width="11.28515625" style="1" customWidth="1"/>
    <col min="9230" max="9230" width="13.42578125" style="1" customWidth="1"/>
    <col min="9231" max="9233" width="5.42578125" style="1" customWidth="1"/>
    <col min="9234" max="9234" width="8.28515625" style="1" customWidth="1"/>
    <col min="9235" max="9237" width="4.7109375" style="1" customWidth="1"/>
    <col min="9238" max="9238" width="11.7109375" style="1" customWidth="1"/>
    <col min="9239" max="9240" width="7" style="1" customWidth="1"/>
    <col min="9241" max="9241" width="6.42578125" style="1" customWidth="1"/>
    <col min="9242" max="9242" width="15" style="1" customWidth="1"/>
    <col min="9243" max="9243" width="5.28515625" style="1" customWidth="1"/>
    <col min="9244" max="9246" width="4.7109375" style="1" customWidth="1"/>
    <col min="9247" max="9247" width="11.7109375" style="1" customWidth="1"/>
    <col min="9248" max="9248" width="10" style="1" customWidth="1"/>
    <col min="9249" max="9249" width="7.42578125" style="1" customWidth="1"/>
    <col min="9250" max="9250" width="7.140625" style="1" customWidth="1"/>
    <col min="9251" max="9251" width="6.42578125" style="1" customWidth="1"/>
    <col min="9252" max="9482" width="8.7109375" style="1"/>
    <col min="9483" max="9483" width="3.7109375" style="1" customWidth="1"/>
    <col min="9484" max="9484" width="4.28515625" style="1" customWidth="1"/>
    <col min="9485" max="9485" width="11.28515625" style="1" customWidth="1"/>
    <col min="9486" max="9486" width="13.42578125" style="1" customWidth="1"/>
    <col min="9487" max="9489" width="5.42578125" style="1" customWidth="1"/>
    <col min="9490" max="9490" width="8.28515625" style="1" customWidth="1"/>
    <col min="9491" max="9493" width="4.7109375" style="1" customWidth="1"/>
    <col min="9494" max="9494" width="11.7109375" style="1" customWidth="1"/>
    <col min="9495" max="9496" width="7" style="1" customWidth="1"/>
    <col min="9497" max="9497" width="6.42578125" style="1" customWidth="1"/>
    <col min="9498" max="9498" width="15" style="1" customWidth="1"/>
    <col min="9499" max="9499" width="5.28515625" style="1" customWidth="1"/>
    <col min="9500" max="9502" width="4.7109375" style="1" customWidth="1"/>
    <col min="9503" max="9503" width="11.7109375" style="1" customWidth="1"/>
    <col min="9504" max="9504" width="10" style="1" customWidth="1"/>
    <col min="9505" max="9505" width="7.42578125" style="1" customWidth="1"/>
    <col min="9506" max="9506" width="7.140625" style="1" customWidth="1"/>
    <col min="9507" max="9507" width="6.42578125" style="1" customWidth="1"/>
    <col min="9508" max="9738" width="8.7109375" style="1"/>
    <col min="9739" max="9739" width="3.7109375" style="1" customWidth="1"/>
    <col min="9740" max="9740" width="4.28515625" style="1" customWidth="1"/>
    <col min="9741" max="9741" width="11.28515625" style="1" customWidth="1"/>
    <col min="9742" max="9742" width="13.42578125" style="1" customWidth="1"/>
    <col min="9743" max="9745" width="5.42578125" style="1" customWidth="1"/>
    <col min="9746" max="9746" width="8.28515625" style="1" customWidth="1"/>
    <col min="9747" max="9749" width="4.7109375" style="1" customWidth="1"/>
    <col min="9750" max="9750" width="11.7109375" style="1" customWidth="1"/>
    <col min="9751" max="9752" width="7" style="1" customWidth="1"/>
    <col min="9753" max="9753" width="6.42578125" style="1" customWidth="1"/>
    <col min="9754" max="9754" width="15" style="1" customWidth="1"/>
    <col min="9755" max="9755" width="5.28515625" style="1" customWidth="1"/>
    <col min="9756" max="9758" width="4.7109375" style="1" customWidth="1"/>
    <col min="9759" max="9759" width="11.7109375" style="1" customWidth="1"/>
    <col min="9760" max="9760" width="10" style="1" customWidth="1"/>
    <col min="9761" max="9761" width="7.42578125" style="1" customWidth="1"/>
    <col min="9762" max="9762" width="7.140625" style="1" customWidth="1"/>
    <col min="9763" max="9763" width="6.42578125" style="1" customWidth="1"/>
    <col min="9764" max="9994" width="8.7109375" style="1"/>
    <col min="9995" max="9995" width="3.7109375" style="1" customWidth="1"/>
    <col min="9996" max="9996" width="4.28515625" style="1" customWidth="1"/>
    <col min="9997" max="9997" width="11.28515625" style="1" customWidth="1"/>
    <col min="9998" max="9998" width="13.42578125" style="1" customWidth="1"/>
    <col min="9999" max="10001" width="5.42578125" style="1" customWidth="1"/>
    <col min="10002" max="10002" width="8.28515625" style="1" customWidth="1"/>
    <col min="10003" max="10005" width="4.7109375" style="1" customWidth="1"/>
    <col min="10006" max="10006" width="11.7109375" style="1" customWidth="1"/>
    <col min="10007" max="10008" width="7" style="1" customWidth="1"/>
    <col min="10009" max="10009" width="6.42578125" style="1" customWidth="1"/>
    <col min="10010" max="10010" width="15" style="1" customWidth="1"/>
    <col min="10011" max="10011" width="5.28515625" style="1" customWidth="1"/>
    <col min="10012" max="10014" width="4.7109375" style="1" customWidth="1"/>
    <col min="10015" max="10015" width="11.7109375" style="1" customWidth="1"/>
    <col min="10016" max="10016" width="10" style="1" customWidth="1"/>
    <col min="10017" max="10017" width="7.42578125" style="1" customWidth="1"/>
    <col min="10018" max="10018" width="7.140625" style="1" customWidth="1"/>
    <col min="10019" max="10019" width="6.42578125" style="1" customWidth="1"/>
    <col min="10020" max="10250" width="8.7109375" style="1"/>
    <col min="10251" max="10251" width="3.7109375" style="1" customWidth="1"/>
    <col min="10252" max="10252" width="4.28515625" style="1" customWidth="1"/>
    <col min="10253" max="10253" width="11.28515625" style="1" customWidth="1"/>
    <col min="10254" max="10254" width="13.42578125" style="1" customWidth="1"/>
    <col min="10255" max="10257" width="5.42578125" style="1" customWidth="1"/>
    <col min="10258" max="10258" width="8.28515625" style="1" customWidth="1"/>
    <col min="10259" max="10261" width="4.7109375" style="1" customWidth="1"/>
    <col min="10262" max="10262" width="11.7109375" style="1" customWidth="1"/>
    <col min="10263" max="10264" width="7" style="1" customWidth="1"/>
    <col min="10265" max="10265" width="6.42578125" style="1" customWidth="1"/>
    <col min="10266" max="10266" width="15" style="1" customWidth="1"/>
    <col min="10267" max="10267" width="5.28515625" style="1" customWidth="1"/>
    <col min="10268" max="10270" width="4.7109375" style="1" customWidth="1"/>
    <col min="10271" max="10271" width="11.7109375" style="1" customWidth="1"/>
    <col min="10272" max="10272" width="10" style="1" customWidth="1"/>
    <col min="10273" max="10273" width="7.42578125" style="1" customWidth="1"/>
    <col min="10274" max="10274" width="7.140625" style="1" customWidth="1"/>
    <col min="10275" max="10275" width="6.42578125" style="1" customWidth="1"/>
    <col min="10276" max="10506" width="8.7109375" style="1"/>
    <col min="10507" max="10507" width="3.7109375" style="1" customWidth="1"/>
    <col min="10508" max="10508" width="4.28515625" style="1" customWidth="1"/>
    <col min="10509" max="10509" width="11.28515625" style="1" customWidth="1"/>
    <col min="10510" max="10510" width="13.42578125" style="1" customWidth="1"/>
    <col min="10511" max="10513" width="5.42578125" style="1" customWidth="1"/>
    <col min="10514" max="10514" width="8.28515625" style="1" customWidth="1"/>
    <col min="10515" max="10517" width="4.7109375" style="1" customWidth="1"/>
    <col min="10518" max="10518" width="11.7109375" style="1" customWidth="1"/>
    <col min="10519" max="10520" width="7" style="1" customWidth="1"/>
    <col min="10521" max="10521" width="6.42578125" style="1" customWidth="1"/>
    <col min="10522" max="10522" width="15" style="1" customWidth="1"/>
    <col min="10523" max="10523" width="5.28515625" style="1" customWidth="1"/>
    <col min="10524" max="10526" width="4.7109375" style="1" customWidth="1"/>
    <col min="10527" max="10527" width="11.7109375" style="1" customWidth="1"/>
    <col min="10528" max="10528" width="10" style="1" customWidth="1"/>
    <col min="10529" max="10529" width="7.42578125" style="1" customWidth="1"/>
    <col min="10530" max="10530" width="7.140625" style="1" customWidth="1"/>
    <col min="10531" max="10531" width="6.42578125" style="1" customWidth="1"/>
    <col min="10532" max="10762" width="8.7109375" style="1"/>
    <col min="10763" max="10763" width="3.7109375" style="1" customWidth="1"/>
    <col min="10764" max="10764" width="4.28515625" style="1" customWidth="1"/>
    <col min="10765" max="10765" width="11.28515625" style="1" customWidth="1"/>
    <col min="10766" max="10766" width="13.42578125" style="1" customWidth="1"/>
    <col min="10767" max="10769" width="5.42578125" style="1" customWidth="1"/>
    <col min="10770" max="10770" width="8.28515625" style="1" customWidth="1"/>
    <col min="10771" max="10773" width="4.7109375" style="1" customWidth="1"/>
    <col min="10774" max="10774" width="11.7109375" style="1" customWidth="1"/>
    <col min="10775" max="10776" width="7" style="1" customWidth="1"/>
    <col min="10777" max="10777" width="6.42578125" style="1" customWidth="1"/>
    <col min="10778" max="10778" width="15" style="1" customWidth="1"/>
    <col min="10779" max="10779" width="5.28515625" style="1" customWidth="1"/>
    <col min="10780" max="10782" width="4.7109375" style="1" customWidth="1"/>
    <col min="10783" max="10783" width="11.7109375" style="1" customWidth="1"/>
    <col min="10784" max="10784" width="10" style="1" customWidth="1"/>
    <col min="10785" max="10785" width="7.42578125" style="1" customWidth="1"/>
    <col min="10786" max="10786" width="7.140625" style="1" customWidth="1"/>
    <col min="10787" max="10787" width="6.42578125" style="1" customWidth="1"/>
    <col min="10788" max="11018" width="8.7109375" style="1"/>
    <col min="11019" max="11019" width="3.7109375" style="1" customWidth="1"/>
    <col min="11020" max="11020" width="4.28515625" style="1" customWidth="1"/>
    <col min="11021" max="11021" width="11.28515625" style="1" customWidth="1"/>
    <col min="11022" max="11022" width="13.42578125" style="1" customWidth="1"/>
    <col min="11023" max="11025" width="5.42578125" style="1" customWidth="1"/>
    <col min="11026" max="11026" width="8.28515625" style="1" customWidth="1"/>
    <col min="11027" max="11029" width="4.7109375" style="1" customWidth="1"/>
    <col min="11030" max="11030" width="11.7109375" style="1" customWidth="1"/>
    <col min="11031" max="11032" width="7" style="1" customWidth="1"/>
    <col min="11033" max="11033" width="6.42578125" style="1" customWidth="1"/>
    <col min="11034" max="11034" width="15" style="1" customWidth="1"/>
    <col min="11035" max="11035" width="5.28515625" style="1" customWidth="1"/>
    <col min="11036" max="11038" width="4.7109375" style="1" customWidth="1"/>
    <col min="11039" max="11039" width="11.7109375" style="1" customWidth="1"/>
    <col min="11040" max="11040" width="10" style="1" customWidth="1"/>
    <col min="11041" max="11041" width="7.42578125" style="1" customWidth="1"/>
    <col min="11042" max="11042" width="7.140625" style="1" customWidth="1"/>
    <col min="11043" max="11043" width="6.42578125" style="1" customWidth="1"/>
    <col min="11044" max="11274" width="8.7109375" style="1"/>
    <col min="11275" max="11275" width="3.7109375" style="1" customWidth="1"/>
    <col min="11276" max="11276" width="4.28515625" style="1" customWidth="1"/>
    <col min="11277" max="11277" width="11.28515625" style="1" customWidth="1"/>
    <col min="11278" max="11278" width="13.42578125" style="1" customWidth="1"/>
    <col min="11279" max="11281" width="5.42578125" style="1" customWidth="1"/>
    <col min="11282" max="11282" width="8.28515625" style="1" customWidth="1"/>
    <col min="11283" max="11285" width="4.7109375" style="1" customWidth="1"/>
    <col min="11286" max="11286" width="11.7109375" style="1" customWidth="1"/>
    <col min="11287" max="11288" width="7" style="1" customWidth="1"/>
    <col min="11289" max="11289" width="6.42578125" style="1" customWidth="1"/>
    <col min="11290" max="11290" width="15" style="1" customWidth="1"/>
    <col min="11291" max="11291" width="5.28515625" style="1" customWidth="1"/>
    <col min="11292" max="11294" width="4.7109375" style="1" customWidth="1"/>
    <col min="11295" max="11295" width="11.7109375" style="1" customWidth="1"/>
    <col min="11296" max="11296" width="10" style="1" customWidth="1"/>
    <col min="11297" max="11297" width="7.42578125" style="1" customWidth="1"/>
    <col min="11298" max="11298" width="7.140625" style="1" customWidth="1"/>
    <col min="11299" max="11299" width="6.42578125" style="1" customWidth="1"/>
    <col min="11300" max="11530" width="8.7109375" style="1"/>
    <col min="11531" max="11531" width="3.7109375" style="1" customWidth="1"/>
    <col min="11532" max="11532" width="4.28515625" style="1" customWidth="1"/>
    <col min="11533" max="11533" width="11.28515625" style="1" customWidth="1"/>
    <col min="11534" max="11534" width="13.42578125" style="1" customWidth="1"/>
    <col min="11535" max="11537" width="5.42578125" style="1" customWidth="1"/>
    <col min="11538" max="11538" width="8.28515625" style="1" customWidth="1"/>
    <col min="11539" max="11541" width="4.7109375" style="1" customWidth="1"/>
    <col min="11542" max="11542" width="11.7109375" style="1" customWidth="1"/>
    <col min="11543" max="11544" width="7" style="1" customWidth="1"/>
    <col min="11545" max="11545" width="6.42578125" style="1" customWidth="1"/>
    <col min="11546" max="11546" width="15" style="1" customWidth="1"/>
    <col min="11547" max="11547" width="5.28515625" style="1" customWidth="1"/>
    <col min="11548" max="11550" width="4.7109375" style="1" customWidth="1"/>
    <col min="11551" max="11551" width="11.7109375" style="1" customWidth="1"/>
    <col min="11552" max="11552" width="10" style="1" customWidth="1"/>
    <col min="11553" max="11553" width="7.42578125" style="1" customWidth="1"/>
    <col min="11554" max="11554" width="7.140625" style="1" customWidth="1"/>
    <col min="11555" max="11555" width="6.42578125" style="1" customWidth="1"/>
    <col min="11556" max="11786" width="8.7109375" style="1"/>
    <col min="11787" max="11787" width="3.7109375" style="1" customWidth="1"/>
    <col min="11788" max="11788" width="4.28515625" style="1" customWidth="1"/>
    <col min="11789" max="11789" width="11.28515625" style="1" customWidth="1"/>
    <col min="11790" max="11790" width="13.42578125" style="1" customWidth="1"/>
    <col min="11791" max="11793" width="5.42578125" style="1" customWidth="1"/>
    <col min="11794" max="11794" width="8.28515625" style="1" customWidth="1"/>
    <col min="11795" max="11797" width="4.7109375" style="1" customWidth="1"/>
    <col min="11798" max="11798" width="11.7109375" style="1" customWidth="1"/>
    <col min="11799" max="11800" width="7" style="1" customWidth="1"/>
    <col min="11801" max="11801" width="6.42578125" style="1" customWidth="1"/>
    <col min="11802" max="11802" width="15" style="1" customWidth="1"/>
    <col min="11803" max="11803" width="5.28515625" style="1" customWidth="1"/>
    <col min="11804" max="11806" width="4.7109375" style="1" customWidth="1"/>
    <col min="11807" max="11807" width="11.7109375" style="1" customWidth="1"/>
    <col min="11808" max="11808" width="10" style="1" customWidth="1"/>
    <col min="11809" max="11809" width="7.42578125" style="1" customWidth="1"/>
    <col min="11810" max="11810" width="7.140625" style="1" customWidth="1"/>
    <col min="11811" max="11811" width="6.42578125" style="1" customWidth="1"/>
    <col min="11812" max="12042" width="8.7109375" style="1"/>
    <col min="12043" max="12043" width="3.7109375" style="1" customWidth="1"/>
    <col min="12044" max="12044" width="4.28515625" style="1" customWidth="1"/>
    <col min="12045" max="12045" width="11.28515625" style="1" customWidth="1"/>
    <col min="12046" max="12046" width="13.42578125" style="1" customWidth="1"/>
    <col min="12047" max="12049" width="5.42578125" style="1" customWidth="1"/>
    <col min="12050" max="12050" width="8.28515625" style="1" customWidth="1"/>
    <col min="12051" max="12053" width="4.7109375" style="1" customWidth="1"/>
    <col min="12054" max="12054" width="11.7109375" style="1" customWidth="1"/>
    <col min="12055" max="12056" width="7" style="1" customWidth="1"/>
    <col min="12057" max="12057" width="6.42578125" style="1" customWidth="1"/>
    <col min="12058" max="12058" width="15" style="1" customWidth="1"/>
    <col min="12059" max="12059" width="5.28515625" style="1" customWidth="1"/>
    <col min="12060" max="12062" width="4.7109375" style="1" customWidth="1"/>
    <col min="12063" max="12063" width="11.7109375" style="1" customWidth="1"/>
    <col min="12064" max="12064" width="10" style="1" customWidth="1"/>
    <col min="12065" max="12065" width="7.42578125" style="1" customWidth="1"/>
    <col min="12066" max="12066" width="7.140625" style="1" customWidth="1"/>
    <col min="12067" max="12067" width="6.42578125" style="1" customWidth="1"/>
    <col min="12068" max="12298" width="8.7109375" style="1"/>
    <col min="12299" max="12299" width="3.7109375" style="1" customWidth="1"/>
    <col min="12300" max="12300" width="4.28515625" style="1" customWidth="1"/>
    <col min="12301" max="12301" width="11.28515625" style="1" customWidth="1"/>
    <col min="12302" max="12302" width="13.42578125" style="1" customWidth="1"/>
    <col min="12303" max="12305" width="5.42578125" style="1" customWidth="1"/>
    <col min="12306" max="12306" width="8.28515625" style="1" customWidth="1"/>
    <col min="12307" max="12309" width="4.7109375" style="1" customWidth="1"/>
    <col min="12310" max="12310" width="11.7109375" style="1" customWidth="1"/>
    <col min="12311" max="12312" width="7" style="1" customWidth="1"/>
    <col min="12313" max="12313" width="6.42578125" style="1" customWidth="1"/>
    <col min="12314" max="12314" width="15" style="1" customWidth="1"/>
    <col min="12315" max="12315" width="5.28515625" style="1" customWidth="1"/>
    <col min="12316" max="12318" width="4.7109375" style="1" customWidth="1"/>
    <col min="12319" max="12319" width="11.7109375" style="1" customWidth="1"/>
    <col min="12320" max="12320" width="10" style="1" customWidth="1"/>
    <col min="12321" max="12321" width="7.42578125" style="1" customWidth="1"/>
    <col min="12322" max="12322" width="7.140625" style="1" customWidth="1"/>
    <col min="12323" max="12323" width="6.42578125" style="1" customWidth="1"/>
    <col min="12324" max="12554" width="8.7109375" style="1"/>
    <col min="12555" max="12555" width="3.7109375" style="1" customWidth="1"/>
    <col min="12556" max="12556" width="4.28515625" style="1" customWidth="1"/>
    <col min="12557" max="12557" width="11.28515625" style="1" customWidth="1"/>
    <col min="12558" max="12558" width="13.42578125" style="1" customWidth="1"/>
    <col min="12559" max="12561" width="5.42578125" style="1" customWidth="1"/>
    <col min="12562" max="12562" width="8.28515625" style="1" customWidth="1"/>
    <col min="12563" max="12565" width="4.7109375" style="1" customWidth="1"/>
    <col min="12566" max="12566" width="11.7109375" style="1" customWidth="1"/>
    <col min="12567" max="12568" width="7" style="1" customWidth="1"/>
    <col min="12569" max="12569" width="6.42578125" style="1" customWidth="1"/>
    <col min="12570" max="12570" width="15" style="1" customWidth="1"/>
    <col min="12571" max="12571" width="5.28515625" style="1" customWidth="1"/>
    <col min="12572" max="12574" width="4.7109375" style="1" customWidth="1"/>
    <col min="12575" max="12575" width="11.7109375" style="1" customWidth="1"/>
    <col min="12576" max="12576" width="10" style="1" customWidth="1"/>
    <col min="12577" max="12577" width="7.42578125" style="1" customWidth="1"/>
    <col min="12578" max="12578" width="7.140625" style="1" customWidth="1"/>
    <col min="12579" max="12579" width="6.42578125" style="1" customWidth="1"/>
    <col min="12580" max="12810" width="8.7109375" style="1"/>
    <col min="12811" max="12811" width="3.7109375" style="1" customWidth="1"/>
    <col min="12812" max="12812" width="4.28515625" style="1" customWidth="1"/>
    <col min="12813" max="12813" width="11.28515625" style="1" customWidth="1"/>
    <col min="12814" max="12814" width="13.42578125" style="1" customWidth="1"/>
    <col min="12815" max="12817" width="5.42578125" style="1" customWidth="1"/>
    <col min="12818" max="12818" width="8.28515625" style="1" customWidth="1"/>
    <col min="12819" max="12821" width="4.7109375" style="1" customWidth="1"/>
    <col min="12822" max="12822" width="11.7109375" style="1" customWidth="1"/>
    <col min="12823" max="12824" width="7" style="1" customWidth="1"/>
    <col min="12825" max="12825" width="6.42578125" style="1" customWidth="1"/>
    <col min="12826" max="12826" width="15" style="1" customWidth="1"/>
    <col min="12827" max="12827" width="5.28515625" style="1" customWidth="1"/>
    <col min="12828" max="12830" width="4.7109375" style="1" customWidth="1"/>
    <col min="12831" max="12831" width="11.7109375" style="1" customWidth="1"/>
    <col min="12832" max="12832" width="10" style="1" customWidth="1"/>
    <col min="12833" max="12833" width="7.42578125" style="1" customWidth="1"/>
    <col min="12834" max="12834" width="7.140625" style="1" customWidth="1"/>
    <col min="12835" max="12835" width="6.42578125" style="1" customWidth="1"/>
    <col min="12836" max="13066" width="8.7109375" style="1"/>
    <col min="13067" max="13067" width="3.7109375" style="1" customWidth="1"/>
    <col min="13068" max="13068" width="4.28515625" style="1" customWidth="1"/>
    <col min="13069" max="13069" width="11.28515625" style="1" customWidth="1"/>
    <col min="13070" max="13070" width="13.42578125" style="1" customWidth="1"/>
    <col min="13071" max="13073" width="5.42578125" style="1" customWidth="1"/>
    <col min="13074" max="13074" width="8.28515625" style="1" customWidth="1"/>
    <col min="13075" max="13077" width="4.7109375" style="1" customWidth="1"/>
    <col min="13078" max="13078" width="11.7109375" style="1" customWidth="1"/>
    <col min="13079" max="13080" width="7" style="1" customWidth="1"/>
    <col min="13081" max="13081" width="6.42578125" style="1" customWidth="1"/>
    <col min="13082" max="13082" width="15" style="1" customWidth="1"/>
    <col min="13083" max="13083" width="5.28515625" style="1" customWidth="1"/>
    <col min="13084" max="13086" width="4.7109375" style="1" customWidth="1"/>
    <col min="13087" max="13087" width="11.7109375" style="1" customWidth="1"/>
    <col min="13088" max="13088" width="10" style="1" customWidth="1"/>
    <col min="13089" max="13089" width="7.42578125" style="1" customWidth="1"/>
    <col min="13090" max="13090" width="7.140625" style="1" customWidth="1"/>
    <col min="13091" max="13091" width="6.42578125" style="1" customWidth="1"/>
    <col min="13092" max="13322" width="8.7109375" style="1"/>
    <col min="13323" max="13323" width="3.7109375" style="1" customWidth="1"/>
    <col min="13324" max="13324" width="4.28515625" style="1" customWidth="1"/>
    <col min="13325" max="13325" width="11.28515625" style="1" customWidth="1"/>
    <col min="13326" max="13326" width="13.42578125" style="1" customWidth="1"/>
    <col min="13327" max="13329" width="5.42578125" style="1" customWidth="1"/>
    <col min="13330" max="13330" width="8.28515625" style="1" customWidth="1"/>
    <col min="13331" max="13333" width="4.7109375" style="1" customWidth="1"/>
    <col min="13334" max="13334" width="11.7109375" style="1" customWidth="1"/>
    <col min="13335" max="13336" width="7" style="1" customWidth="1"/>
    <col min="13337" max="13337" width="6.42578125" style="1" customWidth="1"/>
    <col min="13338" max="13338" width="15" style="1" customWidth="1"/>
    <col min="13339" max="13339" width="5.28515625" style="1" customWidth="1"/>
    <col min="13340" max="13342" width="4.7109375" style="1" customWidth="1"/>
    <col min="13343" max="13343" width="11.7109375" style="1" customWidth="1"/>
    <col min="13344" max="13344" width="10" style="1" customWidth="1"/>
    <col min="13345" max="13345" width="7.42578125" style="1" customWidth="1"/>
    <col min="13346" max="13346" width="7.140625" style="1" customWidth="1"/>
    <col min="13347" max="13347" width="6.42578125" style="1" customWidth="1"/>
    <col min="13348" max="13578" width="8.7109375" style="1"/>
    <col min="13579" max="13579" width="3.7109375" style="1" customWidth="1"/>
    <col min="13580" max="13580" width="4.28515625" style="1" customWidth="1"/>
    <col min="13581" max="13581" width="11.28515625" style="1" customWidth="1"/>
    <col min="13582" max="13582" width="13.42578125" style="1" customWidth="1"/>
    <col min="13583" max="13585" width="5.42578125" style="1" customWidth="1"/>
    <col min="13586" max="13586" width="8.28515625" style="1" customWidth="1"/>
    <col min="13587" max="13589" width="4.7109375" style="1" customWidth="1"/>
    <col min="13590" max="13590" width="11.7109375" style="1" customWidth="1"/>
    <col min="13591" max="13592" width="7" style="1" customWidth="1"/>
    <col min="13593" max="13593" width="6.42578125" style="1" customWidth="1"/>
    <col min="13594" max="13594" width="15" style="1" customWidth="1"/>
    <col min="13595" max="13595" width="5.28515625" style="1" customWidth="1"/>
    <col min="13596" max="13598" width="4.7109375" style="1" customWidth="1"/>
    <col min="13599" max="13599" width="11.7109375" style="1" customWidth="1"/>
    <col min="13600" max="13600" width="10" style="1" customWidth="1"/>
    <col min="13601" max="13601" width="7.42578125" style="1" customWidth="1"/>
    <col min="13602" max="13602" width="7.140625" style="1" customWidth="1"/>
    <col min="13603" max="13603" width="6.42578125" style="1" customWidth="1"/>
    <col min="13604" max="13834" width="8.7109375" style="1"/>
    <col min="13835" max="13835" width="3.7109375" style="1" customWidth="1"/>
    <col min="13836" max="13836" width="4.28515625" style="1" customWidth="1"/>
    <col min="13837" max="13837" width="11.28515625" style="1" customWidth="1"/>
    <col min="13838" max="13838" width="13.42578125" style="1" customWidth="1"/>
    <col min="13839" max="13841" width="5.42578125" style="1" customWidth="1"/>
    <col min="13842" max="13842" width="8.28515625" style="1" customWidth="1"/>
    <col min="13843" max="13845" width="4.7109375" style="1" customWidth="1"/>
    <col min="13846" max="13846" width="11.7109375" style="1" customWidth="1"/>
    <col min="13847" max="13848" width="7" style="1" customWidth="1"/>
    <col min="13849" max="13849" width="6.42578125" style="1" customWidth="1"/>
    <col min="13850" max="13850" width="15" style="1" customWidth="1"/>
    <col min="13851" max="13851" width="5.28515625" style="1" customWidth="1"/>
    <col min="13852" max="13854" width="4.7109375" style="1" customWidth="1"/>
    <col min="13855" max="13855" width="11.7109375" style="1" customWidth="1"/>
    <col min="13856" max="13856" width="10" style="1" customWidth="1"/>
    <col min="13857" max="13857" width="7.42578125" style="1" customWidth="1"/>
    <col min="13858" max="13858" width="7.140625" style="1" customWidth="1"/>
    <col min="13859" max="13859" width="6.42578125" style="1" customWidth="1"/>
    <col min="13860" max="14090" width="8.7109375" style="1"/>
    <col min="14091" max="14091" width="3.7109375" style="1" customWidth="1"/>
    <col min="14092" max="14092" width="4.28515625" style="1" customWidth="1"/>
    <col min="14093" max="14093" width="11.28515625" style="1" customWidth="1"/>
    <col min="14094" max="14094" width="13.42578125" style="1" customWidth="1"/>
    <col min="14095" max="14097" width="5.42578125" style="1" customWidth="1"/>
    <col min="14098" max="14098" width="8.28515625" style="1" customWidth="1"/>
    <col min="14099" max="14101" width="4.7109375" style="1" customWidth="1"/>
    <col min="14102" max="14102" width="11.7109375" style="1" customWidth="1"/>
    <col min="14103" max="14104" width="7" style="1" customWidth="1"/>
    <col min="14105" max="14105" width="6.42578125" style="1" customWidth="1"/>
    <col min="14106" max="14106" width="15" style="1" customWidth="1"/>
    <col min="14107" max="14107" width="5.28515625" style="1" customWidth="1"/>
    <col min="14108" max="14110" width="4.7109375" style="1" customWidth="1"/>
    <col min="14111" max="14111" width="11.7109375" style="1" customWidth="1"/>
    <col min="14112" max="14112" width="10" style="1" customWidth="1"/>
    <col min="14113" max="14113" width="7.42578125" style="1" customWidth="1"/>
    <col min="14114" max="14114" width="7.140625" style="1" customWidth="1"/>
    <col min="14115" max="14115" width="6.42578125" style="1" customWidth="1"/>
    <col min="14116" max="14346" width="8.7109375" style="1"/>
    <col min="14347" max="14347" width="3.7109375" style="1" customWidth="1"/>
    <col min="14348" max="14348" width="4.28515625" style="1" customWidth="1"/>
    <col min="14349" max="14349" width="11.28515625" style="1" customWidth="1"/>
    <col min="14350" max="14350" width="13.42578125" style="1" customWidth="1"/>
    <col min="14351" max="14353" width="5.42578125" style="1" customWidth="1"/>
    <col min="14354" max="14354" width="8.28515625" style="1" customWidth="1"/>
    <col min="14355" max="14357" width="4.7109375" style="1" customWidth="1"/>
    <col min="14358" max="14358" width="11.7109375" style="1" customWidth="1"/>
    <col min="14359" max="14360" width="7" style="1" customWidth="1"/>
    <col min="14361" max="14361" width="6.42578125" style="1" customWidth="1"/>
    <col min="14362" max="14362" width="15" style="1" customWidth="1"/>
    <col min="14363" max="14363" width="5.28515625" style="1" customWidth="1"/>
    <col min="14364" max="14366" width="4.7109375" style="1" customWidth="1"/>
    <col min="14367" max="14367" width="11.7109375" style="1" customWidth="1"/>
    <col min="14368" max="14368" width="10" style="1" customWidth="1"/>
    <col min="14369" max="14369" width="7.42578125" style="1" customWidth="1"/>
    <col min="14370" max="14370" width="7.140625" style="1" customWidth="1"/>
    <col min="14371" max="14371" width="6.42578125" style="1" customWidth="1"/>
    <col min="14372" max="14602" width="8.7109375" style="1"/>
    <col min="14603" max="14603" width="3.7109375" style="1" customWidth="1"/>
    <col min="14604" max="14604" width="4.28515625" style="1" customWidth="1"/>
    <col min="14605" max="14605" width="11.28515625" style="1" customWidth="1"/>
    <col min="14606" max="14606" width="13.42578125" style="1" customWidth="1"/>
    <col min="14607" max="14609" width="5.42578125" style="1" customWidth="1"/>
    <col min="14610" max="14610" width="8.28515625" style="1" customWidth="1"/>
    <col min="14611" max="14613" width="4.7109375" style="1" customWidth="1"/>
    <col min="14614" max="14614" width="11.7109375" style="1" customWidth="1"/>
    <col min="14615" max="14616" width="7" style="1" customWidth="1"/>
    <col min="14617" max="14617" width="6.42578125" style="1" customWidth="1"/>
    <col min="14618" max="14618" width="15" style="1" customWidth="1"/>
    <col min="14619" max="14619" width="5.28515625" style="1" customWidth="1"/>
    <col min="14620" max="14622" width="4.7109375" style="1" customWidth="1"/>
    <col min="14623" max="14623" width="11.7109375" style="1" customWidth="1"/>
    <col min="14624" max="14624" width="10" style="1" customWidth="1"/>
    <col min="14625" max="14625" width="7.42578125" style="1" customWidth="1"/>
    <col min="14626" max="14626" width="7.140625" style="1" customWidth="1"/>
    <col min="14627" max="14627" width="6.42578125" style="1" customWidth="1"/>
    <col min="14628" max="14858" width="8.7109375" style="1"/>
    <col min="14859" max="14859" width="3.7109375" style="1" customWidth="1"/>
    <col min="14860" max="14860" width="4.28515625" style="1" customWidth="1"/>
    <col min="14861" max="14861" width="11.28515625" style="1" customWidth="1"/>
    <col min="14862" max="14862" width="13.42578125" style="1" customWidth="1"/>
    <col min="14863" max="14865" width="5.42578125" style="1" customWidth="1"/>
    <col min="14866" max="14866" width="8.28515625" style="1" customWidth="1"/>
    <col min="14867" max="14869" width="4.7109375" style="1" customWidth="1"/>
    <col min="14870" max="14870" width="11.7109375" style="1" customWidth="1"/>
    <col min="14871" max="14872" width="7" style="1" customWidth="1"/>
    <col min="14873" max="14873" width="6.42578125" style="1" customWidth="1"/>
    <col min="14874" max="14874" width="15" style="1" customWidth="1"/>
    <col min="14875" max="14875" width="5.28515625" style="1" customWidth="1"/>
    <col min="14876" max="14878" width="4.7109375" style="1" customWidth="1"/>
    <col min="14879" max="14879" width="11.7109375" style="1" customWidth="1"/>
    <col min="14880" max="14880" width="10" style="1" customWidth="1"/>
    <col min="14881" max="14881" width="7.42578125" style="1" customWidth="1"/>
    <col min="14882" max="14882" width="7.140625" style="1" customWidth="1"/>
    <col min="14883" max="14883" width="6.42578125" style="1" customWidth="1"/>
    <col min="14884" max="15114" width="8.7109375" style="1"/>
    <col min="15115" max="15115" width="3.7109375" style="1" customWidth="1"/>
    <col min="15116" max="15116" width="4.28515625" style="1" customWidth="1"/>
    <col min="15117" max="15117" width="11.28515625" style="1" customWidth="1"/>
    <col min="15118" max="15118" width="13.42578125" style="1" customWidth="1"/>
    <col min="15119" max="15121" width="5.42578125" style="1" customWidth="1"/>
    <col min="15122" max="15122" width="8.28515625" style="1" customWidth="1"/>
    <col min="15123" max="15125" width="4.7109375" style="1" customWidth="1"/>
    <col min="15126" max="15126" width="11.7109375" style="1" customWidth="1"/>
    <col min="15127" max="15128" width="7" style="1" customWidth="1"/>
    <col min="15129" max="15129" width="6.42578125" style="1" customWidth="1"/>
    <col min="15130" max="15130" width="15" style="1" customWidth="1"/>
    <col min="15131" max="15131" width="5.28515625" style="1" customWidth="1"/>
    <col min="15132" max="15134" width="4.7109375" style="1" customWidth="1"/>
    <col min="15135" max="15135" width="11.7109375" style="1" customWidth="1"/>
    <col min="15136" max="15136" width="10" style="1" customWidth="1"/>
    <col min="15137" max="15137" width="7.42578125" style="1" customWidth="1"/>
    <col min="15138" max="15138" width="7.140625" style="1" customWidth="1"/>
    <col min="15139" max="15139" width="6.42578125" style="1" customWidth="1"/>
    <col min="15140" max="15370" width="8.7109375" style="1"/>
    <col min="15371" max="15371" width="3.7109375" style="1" customWidth="1"/>
    <col min="15372" max="15372" width="4.28515625" style="1" customWidth="1"/>
    <col min="15373" max="15373" width="11.28515625" style="1" customWidth="1"/>
    <col min="15374" max="15374" width="13.42578125" style="1" customWidth="1"/>
    <col min="15375" max="15377" width="5.42578125" style="1" customWidth="1"/>
    <col min="15378" max="15378" width="8.28515625" style="1" customWidth="1"/>
    <col min="15379" max="15381" width="4.7109375" style="1" customWidth="1"/>
    <col min="15382" max="15382" width="11.7109375" style="1" customWidth="1"/>
    <col min="15383" max="15384" width="7" style="1" customWidth="1"/>
    <col min="15385" max="15385" width="6.42578125" style="1" customWidth="1"/>
    <col min="15386" max="15386" width="15" style="1" customWidth="1"/>
    <col min="15387" max="15387" width="5.28515625" style="1" customWidth="1"/>
    <col min="15388" max="15390" width="4.7109375" style="1" customWidth="1"/>
    <col min="15391" max="15391" width="11.7109375" style="1" customWidth="1"/>
    <col min="15392" max="15392" width="10" style="1" customWidth="1"/>
    <col min="15393" max="15393" width="7.42578125" style="1" customWidth="1"/>
    <col min="15394" max="15394" width="7.140625" style="1" customWidth="1"/>
    <col min="15395" max="15395" width="6.42578125" style="1" customWidth="1"/>
    <col min="15396" max="15626" width="8.7109375" style="1"/>
    <col min="15627" max="15627" width="3.7109375" style="1" customWidth="1"/>
    <col min="15628" max="15628" width="4.28515625" style="1" customWidth="1"/>
    <col min="15629" max="15629" width="11.28515625" style="1" customWidth="1"/>
    <col min="15630" max="15630" width="13.42578125" style="1" customWidth="1"/>
    <col min="15631" max="15633" width="5.42578125" style="1" customWidth="1"/>
    <col min="15634" max="15634" width="8.28515625" style="1" customWidth="1"/>
    <col min="15635" max="15637" width="4.7109375" style="1" customWidth="1"/>
    <col min="15638" max="15638" width="11.7109375" style="1" customWidth="1"/>
    <col min="15639" max="15640" width="7" style="1" customWidth="1"/>
    <col min="15641" max="15641" width="6.42578125" style="1" customWidth="1"/>
    <col min="15642" max="15642" width="15" style="1" customWidth="1"/>
    <col min="15643" max="15643" width="5.28515625" style="1" customWidth="1"/>
    <col min="15644" max="15646" width="4.7109375" style="1" customWidth="1"/>
    <col min="15647" max="15647" width="11.7109375" style="1" customWidth="1"/>
    <col min="15648" max="15648" width="10" style="1" customWidth="1"/>
    <col min="15649" max="15649" width="7.42578125" style="1" customWidth="1"/>
    <col min="15650" max="15650" width="7.140625" style="1" customWidth="1"/>
    <col min="15651" max="15651" width="6.42578125" style="1" customWidth="1"/>
    <col min="15652" max="15882" width="8.7109375" style="1"/>
    <col min="15883" max="15883" width="3.7109375" style="1" customWidth="1"/>
    <col min="15884" max="15884" width="4.28515625" style="1" customWidth="1"/>
    <col min="15885" max="15885" width="11.28515625" style="1" customWidth="1"/>
    <col min="15886" max="15886" width="13.42578125" style="1" customWidth="1"/>
    <col min="15887" max="15889" width="5.42578125" style="1" customWidth="1"/>
    <col min="15890" max="15890" width="8.28515625" style="1" customWidth="1"/>
    <col min="15891" max="15893" width="4.7109375" style="1" customWidth="1"/>
    <col min="15894" max="15894" width="11.7109375" style="1" customWidth="1"/>
    <col min="15895" max="15896" width="7" style="1" customWidth="1"/>
    <col min="15897" max="15897" width="6.42578125" style="1" customWidth="1"/>
    <col min="15898" max="15898" width="15" style="1" customWidth="1"/>
    <col min="15899" max="15899" width="5.28515625" style="1" customWidth="1"/>
    <col min="15900" max="15902" width="4.7109375" style="1" customWidth="1"/>
    <col min="15903" max="15903" width="11.7109375" style="1" customWidth="1"/>
    <col min="15904" max="15904" width="10" style="1" customWidth="1"/>
    <col min="15905" max="15905" width="7.42578125" style="1" customWidth="1"/>
    <col min="15906" max="15906" width="7.140625" style="1" customWidth="1"/>
    <col min="15907" max="15907" width="6.42578125" style="1" customWidth="1"/>
    <col min="15908" max="16138" width="8.7109375" style="1"/>
    <col min="16139" max="16139" width="3.7109375" style="1" customWidth="1"/>
    <col min="16140" max="16140" width="4.28515625" style="1" customWidth="1"/>
    <col min="16141" max="16141" width="11.28515625" style="1" customWidth="1"/>
    <col min="16142" max="16142" width="13.42578125" style="1" customWidth="1"/>
    <col min="16143" max="16145" width="5.42578125" style="1" customWidth="1"/>
    <col min="16146" max="16146" width="8.28515625" style="1" customWidth="1"/>
    <col min="16147" max="16149" width="4.7109375" style="1" customWidth="1"/>
    <col min="16150" max="16150" width="11.7109375" style="1" customWidth="1"/>
    <col min="16151" max="16152" width="7" style="1" customWidth="1"/>
    <col min="16153" max="16153" width="6.42578125" style="1" customWidth="1"/>
    <col min="16154" max="16154" width="15" style="1" customWidth="1"/>
    <col min="16155" max="16155" width="5.28515625" style="1" customWidth="1"/>
    <col min="16156" max="16158" width="4.7109375" style="1" customWidth="1"/>
    <col min="16159" max="16159" width="11.7109375" style="1" customWidth="1"/>
    <col min="16160" max="16160" width="10" style="1" customWidth="1"/>
    <col min="16161" max="16161" width="7.42578125" style="1" customWidth="1"/>
    <col min="16162" max="16162" width="7.140625" style="1" customWidth="1"/>
    <col min="16163" max="16163" width="6.42578125" style="1" customWidth="1"/>
    <col min="16164" max="16384" width="8.7109375" style="1"/>
  </cols>
  <sheetData>
    <row r="1" spans="2:37" x14ac:dyDescent="0.25">
      <c r="B1" s="1" t="s">
        <v>0</v>
      </c>
      <c r="F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54" t="s">
        <v>1</v>
      </c>
      <c r="AJ1" s="54"/>
    </row>
    <row r="2" spans="2:37" ht="15" customHeight="1" x14ac:dyDescent="0.25">
      <c r="B2" s="1" t="s">
        <v>42</v>
      </c>
      <c r="F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55" t="s">
        <v>2</v>
      </c>
      <c r="AJ2" s="55"/>
    </row>
    <row r="3" spans="2:37" ht="15" customHeight="1" x14ac:dyDescent="0.25">
      <c r="B3" s="1" t="s">
        <v>95</v>
      </c>
      <c r="F3" s="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6" t="s">
        <v>3</v>
      </c>
      <c r="AJ3" s="56"/>
    </row>
    <row r="4" spans="2:37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</row>
    <row r="5" spans="2:37" ht="17.25" customHeight="1" x14ac:dyDescent="0.25">
      <c r="B5" s="44" t="s">
        <v>97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</row>
    <row r="6" spans="2:37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2:37" ht="17.25" customHeight="1" x14ac:dyDescent="0.25">
      <c r="B7" s="6" t="s">
        <v>127</v>
      </c>
      <c r="C7" s="6"/>
      <c r="D7" s="6"/>
      <c r="E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2:37" ht="18" customHeight="1" x14ac:dyDescent="0.25">
      <c r="B8" s="7" t="s">
        <v>5</v>
      </c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2:37" ht="12.75" customHeight="1" x14ac:dyDescent="0.25">
      <c r="B9" s="7"/>
      <c r="C9" s="7"/>
      <c r="D9" s="7"/>
      <c r="E9" s="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2:37" ht="55.15" customHeight="1" x14ac:dyDescent="0.25">
      <c r="B10" s="60" t="s">
        <v>6</v>
      </c>
      <c r="C10" s="60" t="s">
        <v>7</v>
      </c>
      <c r="D10" s="60" t="s">
        <v>8</v>
      </c>
      <c r="E10" s="60" t="s">
        <v>9</v>
      </c>
      <c r="F10" s="9" t="s">
        <v>10</v>
      </c>
      <c r="G10" s="61" t="s">
        <v>11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3"/>
      <c r="T10" s="64" t="s">
        <v>12</v>
      </c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6"/>
      <c r="AJ10" s="9" t="s">
        <v>13</v>
      </c>
      <c r="AK10" s="46" t="s">
        <v>14</v>
      </c>
    </row>
    <row r="11" spans="2:37" s="11" customFormat="1" ht="23.25" customHeight="1" x14ac:dyDescent="0.25">
      <c r="B11" s="60"/>
      <c r="C11" s="60"/>
      <c r="D11" s="60"/>
      <c r="E11" s="60"/>
      <c r="F11" s="49" t="s">
        <v>15</v>
      </c>
      <c r="G11" s="51" t="s">
        <v>15</v>
      </c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3"/>
      <c r="T11" s="51" t="s">
        <v>15</v>
      </c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3"/>
      <c r="AJ11" s="49" t="s">
        <v>16</v>
      </c>
      <c r="AK11" s="47"/>
    </row>
    <row r="12" spans="2:37" s="12" customFormat="1" ht="100.9" customHeight="1" x14ac:dyDescent="0.25">
      <c r="B12" s="60"/>
      <c r="C12" s="60"/>
      <c r="D12" s="60"/>
      <c r="E12" s="60"/>
      <c r="F12" s="50"/>
      <c r="G12" s="10" t="s">
        <v>108</v>
      </c>
      <c r="H12" s="10" t="s">
        <v>109</v>
      </c>
      <c r="I12" s="10" t="s">
        <v>128</v>
      </c>
      <c r="J12" s="10" t="s">
        <v>111</v>
      </c>
      <c r="K12" s="10" t="s">
        <v>113</v>
      </c>
      <c r="L12" s="10" t="s">
        <v>114</v>
      </c>
      <c r="M12" s="10" t="s">
        <v>116</v>
      </c>
      <c r="N12" s="10" t="s">
        <v>119</v>
      </c>
      <c r="O12" s="10" t="s">
        <v>120</v>
      </c>
      <c r="P12" s="10" t="s">
        <v>122</v>
      </c>
      <c r="Q12" s="10" t="s">
        <v>123</v>
      </c>
      <c r="R12" s="10" t="s">
        <v>124</v>
      </c>
      <c r="S12" s="10" t="s">
        <v>17</v>
      </c>
      <c r="T12" s="10" t="s">
        <v>108</v>
      </c>
      <c r="U12" s="10" t="s">
        <v>110</v>
      </c>
      <c r="V12" s="10" t="s">
        <v>112</v>
      </c>
      <c r="W12" s="10" t="s">
        <v>114</v>
      </c>
      <c r="X12" s="10" t="s">
        <v>115</v>
      </c>
      <c r="Y12" s="10" t="s">
        <v>117</v>
      </c>
      <c r="Z12" s="10" t="s">
        <v>118</v>
      </c>
      <c r="AA12" s="10" t="s">
        <v>119</v>
      </c>
      <c r="AB12" s="10" t="s">
        <v>120</v>
      </c>
      <c r="AC12" s="10" t="s">
        <v>121</v>
      </c>
      <c r="AD12" s="10" t="s">
        <v>122</v>
      </c>
      <c r="AE12" s="10" t="s">
        <v>123</v>
      </c>
      <c r="AF12" s="10" t="s">
        <v>124</v>
      </c>
      <c r="AG12" s="10" t="s">
        <v>125</v>
      </c>
      <c r="AH12" s="10" t="s">
        <v>126</v>
      </c>
      <c r="AI12" s="8" t="s">
        <v>18</v>
      </c>
      <c r="AJ12" s="50"/>
      <c r="AK12" s="48"/>
    </row>
    <row r="13" spans="2:37" s="12" customFormat="1" ht="15.75" customHeight="1" x14ac:dyDescent="0.25"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4" t="s">
        <v>24</v>
      </c>
      <c r="H13" s="14" t="s">
        <v>25</v>
      </c>
      <c r="I13" s="14" t="s">
        <v>46</v>
      </c>
      <c r="J13" s="14" t="s">
        <v>47</v>
      </c>
      <c r="K13" s="14" t="s">
        <v>48</v>
      </c>
      <c r="L13" s="14" t="s">
        <v>49</v>
      </c>
      <c r="M13" s="14" t="s">
        <v>50</v>
      </c>
      <c r="N13" s="14" t="s">
        <v>51</v>
      </c>
      <c r="O13" s="14" t="s">
        <v>52</v>
      </c>
      <c r="P13" s="14" t="s">
        <v>53</v>
      </c>
      <c r="Q13" s="14" t="s">
        <v>54</v>
      </c>
      <c r="R13" s="14" t="s">
        <v>55</v>
      </c>
      <c r="S13" s="14" t="s">
        <v>26</v>
      </c>
      <c r="T13" s="14" t="s">
        <v>27</v>
      </c>
      <c r="U13" s="14" t="s">
        <v>28</v>
      </c>
      <c r="V13" s="14" t="s">
        <v>56</v>
      </c>
      <c r="W13" s="14" t="s">
        <v>57</v>
      </c>
      <c r="X13" s="14" t="s">
        <v>58</v>
      </c>
      <c r="Y13" s="14" t="s">
        <v>59</v>
      </c>
      <c r="Z13" s="14" t="s">
        <v>60</v>
      </c>
      <c r="AA13" s="14" t="s">
        <v>61</v>
      </c>
      <c r="AB13" s="14" t="s">
        <v>62</v>
      </c>
      <c r="AC13" s="14" t="s">
        <v>63</v>
      </c>
      <c r="AD13" s="14" t="s">
        <v>64</v>
      </c>
      <c r="AE13" s="14" t="s">
        <v>65</v>
      </c>
      <c r="AF13" s="14" t="s">
        <v>66</v>
      </c>
      <c r="AG13" s="14" t="s">
        <v>67</v>
      </c>
      <c r="AH13" s="14" t="s">
        <v>68</v>
      </c>
      <c r="AI13" s="14" t="s">
        <v>29</v>
      </c>
      <c r="AJ13" s="13" t="s">
        <v>30</v>
      </c>
      <c r="AK13" s="13" t="s">
        <v>31</v>
      </c>
    </row>
    <row r="14" spans="2:37" s="22" customFormat="1" ht="190.15" customHeight="1" x14ac:dyDescent="0.25">
      <c r="B14" s="15">
        <v>1</v>
      </c>
      <c r="C14" s="24" t="s">
        <v>44</v>
      </c>
      <c r="D14" s="16"/>
      <c r="E14" s="16" t="s">
        <v>45</v>
      </c>
      <c r="F14" s="16">
        <f>350</f>
        <v>350</v>
      </c>
      <c r="G14" s="23">
        <f>3*3+4*3+4+4*4</f>
        <v>41</v>
      </c>
      <c r="H14" s="23">
        <v>2</v>
      </c>
      <c r="I14" s="23">
        <v>1000</v>
      </c>
      <c r="J14" s="23">
        <v>8</v>
      </c>
      <c r="K14" s="23">
        <v>12</v>
      </c>
      <c r="L14" s="23">
        <v>20</v>
      </c>
      <c r="M14" s="23">
        <f>4*3</f>
        <v>12</v>
      </c>
      <c r="N14" s="23">
        <v>39</v>
      </c>
      <c r="O14" s="23">
        <f>4+4+4+4+4</f>
        <v>20</v>
      </c>
      <c r="P14" s="23">
        <v>2</v>
      </c>
      <c r="Q14" s="23">
        <f>4*2+4*4+9+4</f>
        <v>37</v>
      </c>
      <c r="R14" s="16">
        <v>9</v>
      </c>
      <c r="S14" s="25">
        <f>SUM(G14:R14)</f>
        <v>1202</v>
      </c>
      <c r="T14" s="16">
        <v>4</v>
      </c>
      <c r="U14" s="16">
        <f>88*3-4+6+4*2</f>
        <v>274</v>
      </c>
      <c r="V14" s="16">
        <v>4</v>
      </c>
      <c r="W14" s="23">
        <v>4</v>
      </c>
      <c r="X14" s="16">
        <f>6*4</f>
        <v>24</v>
      </c>
      <c r="Y14" s="16">
        <f>4+3</f>
        <v>7</v>
      </c>
      <c r="Z14" s="16">
        <v>4</v>
      </c>
      <c r="AA14" s="16">
        <v>26</v>
      </c>
      <c r="AB14" s="16">
        <v>4</v>
      </c>
      <c r="AC14" s="16">
        <f>4*5+3*2</f>
        <v>26</v>
      </c>
      <c r="AD14" s="16">
        <f>3+4*4+2</f>
        <v>21</v>
      </c>
      <c r="AE14" s="16">
        <f>9</f>
        <v>9</v>
      </c>
      <c r="AF14" s="16">
        <v>9</v>
      </c>
      <c r="AG14" s="16">
        <v>15</v>
      </c>
      <c r="AH14" s="16">
        <f>4*3</f>
        <v>12</v>
      </c>
      <c r="AI14" s="25">
        <f>SUM(T14:AH14)</f>
        <v>443</v>
      </c>
      <c r="AJ14" s="25">
        <f>F14+S14-AI14</f>
        <v>1109</v>
      </c>
      <c r="AK14" s="23" t="s">
        <v>129</v>
      </c>
    </row>
    <row r="15" spans="2:37" ht="24" customHeight="1" x14ac:dyDescent="0.25">
      <c r="B15" s="15" t="s">
        <v>32</v>
      </c>
      <c r="C15" s="15"/>
      <c r="D15" s="15"/>
      <c r="E15" s="15"/>
      <c r="F15" s="8">
        <f>F14</f>
        <v>350</v>
      </c>
      <c r="G15" s="8">
        <f t="shared" ref="G15:AJ15" si="0">G14</f>
        <v>41</v>
      </c>
      <c r="H15" s="8">
        <f t="shared" si="0"/>
        <v>2</v>
      </c>
      <c r="I15" s="8">
        <f t="shared" si="0"/>
        <v>1000</v>
      </c>
      <c r="J15" s="8">
        <f t="shared" si="0"/>
        <v>8</v>
      </c>
      <c r="K15" s="8">
        <f t="shared" si="0"/>
        <v>12</v>
      </c>
      <c r="L15" s="8">
        <f t="shared" si="0"/>
        <v>20</v>
      </c>
      <c r="M15" s="8">
        <f t="shared" si="0"/>
        <v>12</v>
      </c>
      <c r="N15" s="8">
        <f t="shared" si="0"/>
        <v>39</v>
      </c>
      <c r="O15" s="8">
        <f t="shared" si="0"/>
        <v>20</v>
      </c>
      <c r="P15" s="8">
        <f t="shared" si="0"/>
        <v>2</v>
      </c>
      <c r="Q15" s="8">
        <f t="shared" si="0"/>
        <v>37</v>
      </c>
      <c r="R15" s="8">
        <f t="shared" si="0"/>
        <v>9</v>
      </c>
      <c r="S15" s="8">
        <f t="shared" si="0"/>
        <v>1202</v>
      </c>
      <c r="T15" s="8">
        <f t="shared" si="0"/>
        <v>4</v>
      </c>
      <c r="U15" s="8">
        <f t="shared" si="0"/>
        <v>274</v>
      </c>
      <c r="V15" s="8">
        <f t="shared" si="0"/>
        <v>4</v>
      </c>
      <c r="W15" s="8">
        <f t="shared" si="0"/>
        <v>4</v>
      </c>
      <c r="X15" s="8">
        <f t="shared" si="0"/>
        <v>24</v>
      </c>
      <c r="Y15" s="8">
        <f t="shared" si="0"/>
        <v>7</v>
      </c>
      <c r="Z15" s="8">
        <f t="shared" si="0"/>
        <v>4</v>
      </c>
      <c r="AA15" s="8">
        <f t="shared" si="0"/>
        <v>26</v>
      </c>
      <c r="AB15" s="8">
        <f t="shared" si="0"/>
        <v>4</v>
      </c>
      <c r="AC15" s="8">
        <f t="shared" si="0"/>
        <v>26</v>
      </c>
      <c r="AD15" s="8">
        <f t="shared" si="0"/>
        <v>21</v>
      </c>
      <c r="AE15" s="8">
        <f t="shared" si="0"/>
        <v>9</v>
      </c>
      <c r="AF15" s="8">
        <f t="shared" si="0"/>
        <v>9</v>
      </c>
      <c r="AG15" s="8">
        <f t="shared" si="0"/>
        <v>15</v>
      </c>
      <c r="AH15" s="8">
        <f t="shared" si="0"/>
        <v>12</v>
      </c>
      <c r="AI15" s="8">
        <f t="shared" si="0"/>
        <v>443</v>
      </c>
      <c r="AJ15" s="8">
        <f t="shared" si="0"/>
        <v>1109</v>
      </c>
      <c r="AK15" s="27"/>
    </row>
    <row r="16" spans="2:37" ht="24" customHeight="1" x14ac:dyDescent="0.25">
      <c r="B16" s="17"/>
      <c r="C16" s="17"/>
      <c r="D16" s="17"/>
      <c r="E16" s="17"/>
      <c r="F16" s="18" t="s">
        <v>96</v>
      </c>
      <c r="S16" s="57" t="s">
        <v>33</v>
      </c>
      <c r="T16" s="57"/>
      <c r="U16" s="57"/>
      <c r="V16" s="57"/>
      <c r="W16" s="57"/>
      <c r="X16" s="57"/>
      <c r="Y16" s="57"/>
      <c r="Z16" s="57"/>
      <c r="AA16" s="57"/>
      <c r="AB16" s="5"/>
      <c r="AC16" s="5"/>
      <c r="AD16" s="5"/>
      <c r="AE16" s="5"/>
      <c r="AF16" s="5"/>
      <c r="AG16" s="5"/>
      <c r="AH16" s="5"/>
      <c r="AI16" s="19"/>
    </row>
    <row r="17" spans="2:36" ht="24" customHeight="1" x14ac:dyDescent="0.25">
      <c r="B17" s="17"/>
      <c r="C17" s="17"/>
      <c r="D17" s="17"/>
      <c r="E17" s="17"/>
      <c r="F17" s="18"/>
      <c r="S17" s="44"/>
      <c r="T17" s="44"/>
      <c r="U17" s="44"/>
      <c r="V17" s="44"/>
      <c r="W17" s="44"/>
      <c r="X17" s="44"/>
      <c r="Y17" s="44"/>
      <c r="Z17" s="44"/>
      <c r="AA17" s="44"/>
      <c r="AB17" s="5"/>
      <c r="AC17" s="5"/>
      <c r="AD17" s="5"/>
      <c r="AE17" s="5"/>
      <c r="AF17" s="5"/>
      <c r="AG17" s="5"/>
      <c r="AH17" s="5"/>
      <c r="AI17" s="19"/>
    </row>
    <row r="18" spans="2:36" ht="24" customHeight="1" x14ac:dyDescent="0.25">
      <c r="B18" s="17"/>
      <c r="C18" s="17"/>
      <c r="D18" s="17"/>
      <c r="E18" s="17"/>
    </row>
    <row r="19" spans="2:36" ht="24" customHeight="1" x14ac:dyDescent="0.25">
      <c r="B19" s="17"/>
      <c r="C19" s="17"/>
      <c r="D19" s="17"/>
      <c r="E19" s="17"/>
    </row>
    <row r="20" spans="2:36" ht="24" customHeight="1" x14ac:dyDescent="0.25">
      <c r="B20" s="17"/>
      <c r="C20" s="17"/>
      <c r="D20" s="17"/>
      <c r="E20" s="17"/>
      <c r="F20" s="19" t="s">
        <v>94</v>
      </c>
    </row>
    <row r="21" spans="2:36" ht="24" customHeight="1" x14ac:dyDescent="0.3">
      <c r="B21" s="17"/>
      <c r="C21" s="17"/>
      <c r="D21" s="17"/>
      <c r="E21" s="17"/>
      <c r="F21" s="21"/>
      <c r="S21" s="45" t="s">
        <v>92</v>
      </c>
      <c r="T21" s="45"/>
      <c r="U21" s="45"/>
      <c r="V21" s="45"/>
      <c r="W21" s="45"/>
      <c r="X21" s="45"/>
      <c r="Y21" s="45"/>
      <c r="Z21" s="45"/>
      <c r="AA21" s="45"/>
    </row>
    <row r="22" spans="2:36" x14ac:dyDescent="0.25">
      <c r="B22" s="20" t="s">
        <v>34</v>
      </c>
      <c r="C22" s="20"/>
      <c r="D22" s="20"/>
      <c r="E22" s="2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2:36" x14ac:dyDescent="0.25">
      <c r="B23" s="42" t="s">
        <v>35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</row>
    <row r="24" spans="2:36" x14ac:dyDescent="0.25">
      <c r="B24" s="42" t="s">
        <v>36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</row>
    <row r="25" spans="2:36" x14ac:dyDescent="0.25">
      <c r="B25" s="42" t="s">
        <v>37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</row>
    <row r="26" spans="2:36" x14ac:dyDescent="0.25">
      <c r="B26" s="42" t="s">
        <v>38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spans="2:36" x14ac:dyDescent="0.25">
      <c r="B27" s="42" t="s">
        <v>39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28"/>
    </row>
    <row r="28" spans="2:36" ht="16.5" customHeight="1" x14ac:dyDescent="0.25">
      <c r="B28" s="42" t="s">
        <v>40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28"/>
    </row>
    <row r="29" spans="2:36" x14ac:dyDescent="0.25">
      <c r="B29" s="43" t="s">
        <v>41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</sheetData>
  <sheetProtection algorithmName="SHA-512" hashValue="CJP0KmPONQwFR4/+jtbBSFJw+TXELDOrzx9+CrqJUPOPtfmCZfYBwF6GDaVg/MZTIB+GL72a3gbw018PN5eHwA==" saltValue="xYVAb0DjWJSADwBM3CdfWg==" spinCount="100000" sheet="1" objects="1" scenarios="1"/>
  <mergeCells count="26">
    <mergeCell ref="AI1:AJ1"/>
    <mergeCell ref="AI2:AJ2"/>
    <mergeCell ref="AI3:AJ3"/>
    <mergeCell ref="S16:AA16"/>
    <mergeCell ref="B4:AJ4"/>
    <mergeCell ref="B5:AJ5"/>
    <mergeCell ref="B10:B12"/>
    <mergeCell ref="C10:C12"/>
    <mergeCell ref="D10:D12"/>
    <mergeCell ref="E10:E12"/>
    <mergeCell ref="G10:S10"/>
    <mergeCell ref="T10:AI10"/>
    <mergeCell ref="AK10:AK12"/>
    <mergeCell ref="F11:F12"/>
    <mergeCell ref="AJ11:AJ12"/>
    <mergeCell ref="T11:AI11"/>
    <mergeCell ref="G11:S11"/>
    <mergeCell ref="B27:AG27"/>
    <mergeCell ref="B28:AG28"/>
    <mergeCell ref="B29:AI29"/>
    <mergeCell ref="S17:AA17"/>
    <mergeCell ref="S21:AA21"/>
    <mergeCell ref="B23:AJ23"/>
    <mergeCell ref="B24:AJ24"/>
    <mergeCell ref="B25:AJ25"/>
    <mergeCell ref="B26:AJ26"/>
  </mergeCells>
  <phoneticPr fontId="12" type="noConversion"/>
  <pageMargins left="0.7" right="0.7" top="0.75" bottom="0.75" header="0.3" footer="0.3"/>
  <pageSetup paperSize="9" scale="44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E16E-6C03-4552-BEE1-16F06A0A4C4E}">
  <sheetPr codeName="Sheet2">
    <pageSetUpPr fitToPage="1"/>
  </sheetPr>
  <dimension ref="B1:AA28"/>
  <sheetViews>
    <sheetView topLeftCell="A3" zoomScale="66" zoomScaleNormal="66" workbookViewId="0">
      <selection activeCell="K20" sqref="K20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7.7109375" style="1" customWidth="1"/>
    <col min="4" max="4" width="16.28515625" style="1" customWidth="1"/>
    <col min="5" max="5" width="13.42578125" style="1" customWidth="1"/>
    <col min="6" max="6" width="16.7109375" style="1" customWidth="1"/>
    <col min="7" max="7" width="8.7109375" style="3" customWidth="1"/>
    <col min="8" max="8" width="5.85546875" style="3" bestFit="1" customWidth="1"/>
    <col min="9" max="14" width="8.7109375" style="3" customWidth="1"/>
    <col min="15" max="15" width="10.7109375" style="3" customWidth="1"/>
    <col min="16" max="24" width="8.42578125" style="3" customWidth="1"/>
    <col min="25" max="25" width="17.140625" style="1" customWidth="1"/>
    <col min="26" max="26" width="21" style="1" customWidth="1"/>
    <col min="27" max="27" width="20.7109375" style="1" customWidth="1"/>
    <col min="28" max="256" width="8.7109375" style="1"/>
    <col min="257" max="257" width="3.7109375" style="1" customWidth="1"/>
    <col min="258" max="258" width="4.28515625" style="1" customWidth="1"/>
    <col min="259" max="259" width="11.28515625" style="1" customWidth="1"/>
    <col min="260" max="260" width="13.42578125" style="1" customWidth="1"/>
    <col min="261" max="263" width="5.42578125" style="1" customWidth="1"/>
    <col min="264" max="264" width="8.28515625" style="1" customWidth="1"/>
    <col min="265" max="267" width="4.7109375" style="1" customWidth="1"/>
    <col min="268" max="268" width="11.7109375" style="1" customWidth="1"/>
    <col min="269" max="270" width="7" style="1" customWidth="1"/>
    <col min="271" max="271" width="6.42578125" style="1" customWidth="1"/>
    <col min="272" max="272" width="15" style="1" customWidth="1"/>
    <col min="273" max="273" width="5.28515625" style="1" customWidth="1"/>
    <col min="274" max="276" width="4.7109375" style="1" customWidth="1"/>
    <col min="277" max="277" width="11.7109375" style="1" customWidth="1"/>
    <col min="278" max="278" width="10" style="1" customWidth="1"/>
    <col min="279" max="279" width="7.42578125" style="1" customWidth="1"/>
    <col min="280" max="280" width="7.140625" style="1" customWidth="1"/>
    <col min="281" max="281" width="6.42578125" style="1" customWidth="1"/>
    <col min="282" max="512" width="8.7109375" style="1"/>
    <col min="513" max="513" width="3.7109375" style="1" customWidth="1"/>
    <col min="514" max="514" width="4.28515625" style="1" customWidth="1"/>
    <col min="515" max="515" width="11.28515625" style="1" customWidth="1"/>
    <col min="516" max="516" width="13.42578125" style="1" customWidth="1"/>
    <col min="517" max="519" width="5.42578125" style="1" customWidth="1"/>
    <col min="520" max="520" width="8.28515625" style="1" customWidth="1"/>
    <col min="521" max="523" width="4.7109375" style="1" customWidth="1"/>
    <col min="524" max="524" width="11.7109375" style="1" customWidth="1"/>
    <col min="525" max="526" width="7" style="1" customWidth="1"/>
    <col min="527" max="527" width="6.42578125" style="1" customWidth="1"/>
    <col min="528" max="528" width="15" style="1" customWidth="1"/>
    <col min="529" max="529" width="5.28515625" style="1" customWidth="1"/>
    <col min="530" max="532" width="4.7109375" style="1" customWidth="1"/>
    <col min="533" max="533" width="11.7109375" style="1" customWidth="1"/>
    <col min="534" max="534" width="10" style="1" customWidth="1"/>
    <col min="535" max="535" width="7.42578125" style="1" customWidth="1"/>
    <col min="536" max="536" width="7.140625" style="1" customWidth="1"/>
    <col min="537" max="537" width="6.42578125" style="1" customWidth="1"/>
    <col min="538" max="768" width="8.7109375" style="1"/>
    <col min="769" max="769" width="3.7109375" style="1" customWidth="1"/>
    <col min="770" max="770" width="4.28515625" style="1" customWidth="1"/>
    <col min="771" max="771" width="11.28515625" style="1" customWidth="1"/>
    <col min="772" max="772" width="13.42578125" style="1" customWidth="1"/>
    <col min="773" max="775" width="5.42578125" style="1" customWidth="1"/>
    <col min="776" max="776" width="8.28515625" style="1" customWidth="1"/>
    <col min="777" max="779" width="4.7109375" style="1" customWidth="1"/>
    <col min="780" max="780" width="11.7109375" style="1" customWidth="1"/>
    <col min="781" max="782" width="7" style="1" customWidth="1"/>
    <col min="783" max="783" width="6.42578125" style="1" customWidth="1"/>
    <col min="784" max="784" width="15" style="1" customWidth="1"/>
    <col min="785" max="785" width="5.28515625" style="1" customWidth="1"/>
    <col min="786" max="788" width="4.7109375" style="1" customWidth="1"/>
    <col min="789" max="789" width="11.7109375" style="1" customWidth="1"/>
    <col min="790" max="790" width="10" style="1" customWidth="1"/>
    <col min="791" max="791" width="7.42578125" style="1" customWidth="1"/>
    <col min="792" max="792" width="7.140625" style="1" customWidth="1"/>
    <col min="793" max="793" width="6.42578125" style="1" customWidth="1"/>
    <col min="794" max="1024" width="8.7109375" style="1"/>
    <col min="1025" max="1025" width="3.7109375" style="1" customWidth="1"/>
    <col min="1026" max="1026" width="4.28515625" style="1" customWidth="1"/>
    <col min="1027" max="1027" width="11.28515625" style="1" customWidth="1"/>
    <col min="1028" max="1028" width="13.42578125" style="1" customWidth="1"/>
    <col min="1029" max="1031" width="5.42578125" style="1" customWidth="1"/>
    <col min="1032" max="1032" width="8.28515625" style="1" customWidth="1"/>
    <col min="1033" max="1035" width="4.7109375" style="1" customWidth="1"/>
    <col min="1036" max="1036" width="11.7109375" style="1" customWidth="1"/>
    <col min="1037" max="1038" width="7" style="1" customWidth="1"/>
    <col min="1039" max="1039" width="6.42578125" style="1" customWidth="1"/>
    <col min="1040" max="1040" width="15" style="1" customWidth="1"/>
    <col min="1041" max="1041" width="5.28515625" style="1" customWidth="1"/>
    <col min="1042" max="1044" width="4.7109375" style="1" customWidth="1"/>
    <col min="1045" max="1045" width="11.7109375" style="1" customWidth="1"/>
    <col min="1046" max="1046" width="10" style="1" customWidth="1"/>
    <col min="1047" max="1047" width="7.42578125" style="1" customWidth="1"/>
    <col min="1048" max="1048" width="7.140625" style="1" customWidth="1"/>
    <col min="1049" max="1049" width="6.42578125" style="1" customWidth="1"/>
    <col min="1050" max="1280" width="8.7109375" style="1"/>
    <col min="1281" max="1281" width="3.7109375" style="1" customWidth="1"/>
    <col min="1282" max="1282" width="4.28515625" style="1" customWidth="1"/>
    <col min="1283" max="1283" width="11.28515625" style="1" customWidth="1"/>
    <col min="1284" max="1284" width="13.42578125" style="1" customWidth="1"/>
    <col min="1285" max="1287" width="5.42578125" style="1" customWidth="1"/>
    <col min="1288" max="1288" width="8.28515625" style="1" customWidth="1"/>
    <col min="1289" max="1291" width="4.7109375" style="1" customWidth="1"/>
    <col min="1292" max="1292" width="11.7109375" style="1" customWidth="1"/>
    <col min="1293" max="1294" width="7" style="1" customWidth="1"/>
    <col min="1295" max="1295" width="6.42578125" style="1" customWidth="1"/>
    <col min="1296" max="1296" width="15" style="1" customWidth="1"/>
    <col min="1297" max="1297" width="5.28515625" style="1" customWidth="1"/>
    <col min="1298" max="1300" width="4.7109375" style="1" customWidth="1"/>
    <col min="1301" max="1301" width="11.7109375" style="1" customWidth="1"/>
    <col min="1302" max="1302" width="10" style="1" customWidth="1"/>
    <col min="1303" max="1303" width="7.42578125" style="1" customWidth="1"/>
    <col min="1304" max="1304" width="7.140625" style="1" customWidth="1"/>
    <col min="1305" max="1305" width="6.42578125" style="1" customWidth="1"/>
    <col min="1306" max="1536" width="8.7109375" style="1"/>
    <col min="1537" max="1537" width="3.7109375" style="1" customWidth="1"/>
    <col min="1538" max="1538" width="4.28515625" style="1" customWidth="1"/>
    <col min="1539" max="1539" width="11.28515625" style="1" customWidth="1"/>
    <col min="1540" max="1540" width="13.42578125" style="1" customWidth="1"/>
    <col min="1541" max="1543" width="5.42578125" style="1" customWidth="1"/>
    <col min="1544" max="1544" width="8.28515625" style="1" customWidth="1"/>
    <col min="1545" max="1547" width="4.7109375" style="1" customWidth="1"/>
    <col min="1548" max="1548" width="11.7109375" style="1" customWidth="1"/>
    <col min="1549" max="1550" width="7" style="1" customWidth="1"/>
    <col min="1551" max="1551" width="6.42578125" style="1" customWidth="1"/>
    <col min="1552" max="1552" width="15" style="1" customWidth="1"/>
    <col min="1553" max="1553" width="5.28515625" style="1" customWidth="1"/>
    <col min="1554" max="1556" width="4.7109375" style="1" customWidth="1"/>
    <col min="1557" max="1557" width="11.7109375" style="1" customWidth="1"/>
    <col min="1558" max="1558" width="10" style="1" customWidth="1"/>
    <col min="1559" max="1559" width="7.42578125" style="1" customWidth="1"/>
    <col min="1560" max="1560" width="7.140625" style="1" customWidth="1"/>
    <col min="1561" max="1561" width="6.42578125" style="1" customWidth="1"/>
    <col min="1562" max="1792" width="8.7109375" style="1"/>
    <col min="1793" max="1793" width="3.7109375" style="1" customWidth="1"/>
    <col min="1794" max="1794" width="4.28515625" style="1" customWidth="1"/>
    <col min="1795" max="1795" width="11.28515625" style="1" customWidth="1"/>
    <col min="1796" max="1796" width="13.42578125" style="1" customWidth="1"/>
    <col min="1797" max="1799" width="5.42578125" style="1" customWidth="1"/>
    <col min="1800" max="1800" width="8.28515625" style="1" customWidth="1"/>
    <col min="1801" max="1803" width="4.7109375" style="1" customWidth="1"/>
    <col min="1804" max="1804" width="11.7109375" style="1" customWidth="1"/>
    <col min="1805" max="1806" width="7" style="1" customWidth="1"/>
    <col min="1807" max="1807" width="6.42578125" style="1" customWidth="1"/>
    <col min="1808" max="1808" width="15" style="1" customWidth="1"/>
    <col min="1809" max="1809" width="5.28515625" style="1" customWidth="1"/>
    <col min="1810" max="1812" width="4.7109375" style="1" customWidth="1"/>
    <col min="1813" max="1813" width="11.7109375" style="1" customWidth="1"/>
    <col min="1814" max="1814" width="10" style="1" customWidth="1"/>
    <col min="1815" max="1815" width="7.42578125" style="1" customWidth="1"/>
    <col min="1816" max="1816" width="7.140625" style="1" customWidth="1"/>
    <col min="1817" max="1817" width="6.42578125" style="1" customWidth="1"/>
    <col min="1818" max="2048" width="8.7109375" style="1"/>
    <col min="2049" max="2049" width="3.7109375" style="1" customWidth="1"/>
    <col min="2050" max="2050" width="4.28515625" style="1" customWidth="1"/>
    <col min="2051" max="2051" width="11.28515625" style="1" customWidth="1"/>
    <col min="2052" max="2052" width="13.42578125" style="1" customWidth="1"/>
    <col min="2053" max="2055" width="5.42578125" style="1" customWidth="1"/>
    <col min="2056" max="2056" width="8.28515625" style="1" customWidth="1"/>
    <col min="2057" max="2059" width="4.7109375" style="1" customWidth="1"/>
    <col min="2060" max="2060" width="11.7109375" style="1" customWidth="1"/>
    <col min="2061" max="2062" width="7" style="1" customWidth="1"/>
    <col min="2063" max="2063" width="6.42578125" style="1" customWidth="1"/>
    <col min="2064" max="2064" width="15" style="1" customWidth="1"/>
    <col min="2065" max="2065" width="5.28515625" style="1" customWidth="1"/>
    <col min="2066" max="2068" width="4.7109375" style="1" customWidth="1"/>
    <col min="2069" max="2069" width="11.7109375" style="1" customWidth="1"/>
    <col min="2070" max="2070" width="10" style="1" customWidth="1"/>
    <col min="2071" max="2071" width="7.42578125" style="1" customWidth="1"/>
    <col min="2072" max="2072" width="7.140625" style="1" customWidth="1"/>
    <col min="2073" max="2073" width="6.42578125" style="1" customWidth="1"/>
    <col min="2074" max="2304" width="8.7109375" style="1"/>
    <col min="2305" max="2305" width="3.7109375" style="1" customWidth="1"/>
    <col min="2306" max="2306" width="4.28515625" style="1" customWidth="1"/>
    <col min="2307" max="2307" width="11.28515625" style="1" customWidth="1"/>
    <col min="2308" max="2308" width="13.42578125" style="1" customWidth="1"/>
    <col min="2309" max="2311" width="5.42578125" style="1" customWidth="1"/>
    <col min="2312" max="2312" width="8.28515625" style="1" customWidth="1"/>
    <col min="2313" max="2315" width="4.7109375" style="1" customWidth="1"/>
    <col min="2316" max="2316" width="11.7109375" style="1" customWidth="1"/>
    <col min="2317" max="2318" width="7" style="1" customWidth="1"/>
    <col min="2319" max="2319" width="6.42578125" style="1" customWidth="1"/>
    <col min="2320" max="2320" width="15" style="1" customWidth="1"/>
    <col min="2321" max="2321" width="5.28515625" style="1" customWidth="1"/>
    <col min="2322" max="2324" width="4.7109375" style="1" customWidth="1"/>
    <col min="2325" max="2325" width="11.7109375" style="1" customWidth="1"/>
    <col min="2326" max="2326" width="10" style="1" customWidth="1"/>
    <col min="2327" max="2327" width="7.42578125" style="1" customWidth="1"/>
    <col min="2328" max="2328" width="7.140625" style="1" customWidth="1"/>
    <col min="2329" max="2329" width="6.42578125" style="1" customWidth="1"/>
    <col min="2330" max="2560" width="8.7109375" style="1"/>
    <col min="2561" max="2561" width="3.7109375" style="1" customWidth="1"/>
    <col min="2562" max="2562" width="4.28515625" style="1" customWidth="1"/>
    <col min="2563" max="2563" width="11.28515625" style="1" customWidth="1"/>
    <col min="2564" max="2564" width="13.42578125" style="1" customWidth="1"/>
    <col min="2565" max="2567" width="5.42578125" style="1" customWidth="1"/>
    <col min="2568" max="2568" width="8.28515625" style="1" customWidth="1"/>
    <col min="2569" max="2571" width="4.7109375" style="1" customWidth="1"/>
    <col min="2572" max="2572" width="11.7109375" style="1" customWidth="1"/>
    <col min="2573" max="2574" width="7" style="1" customWidth="1"/>
    <col min="2575" max="2575" width="6.42578125" style="1" customWidth="1"/>
    <col min="2576" max="2576" width="15" style="1" customWidth="1"/>
    <col min="2577" max="2577" width="5.28515625" style="1" customWidth="1"/>
    <col min="2578" max="2580" width="4.7109375" style="1" customWidth="1"/>
    <col min="2581" max="2581" width="11.7109375" style="1" customWidth="1"/>
    <col min="2582" max="2582" width="10" style="1" customWidth="1"/>
    <col min="2583" max="2583" width="7.42578125" style="1" customWidth="1"/>
    <col min="2584" max="2584" width="7.140625" style="1" customWidth="1"/>
    <col min="2585" max="2585" width="6.42578125" style="1" customWidth="1"/>
    <col min="2586" max="2816" width="8.7109375" style="1"/>
    <col min="2817" max="2817" width="3.7109375" style="1" customWidth="1"/>
    <col min="2818" max="2818" width="4.28515625" style="1" customWidth="1"/>
    <col min="2819" max="2819" width="11.28515625" style="1" customWidth="1"/>
    <col min="2820" max="2820" width="13.42578125" style="1" customWidth="1"/>
    <col min="2821" max="2823" width="5.42578125" style="1" customWidth="1"/>
    <col min="2824" max="2824" width="8.28515625" style="1" customWidth="1"/>
    <col min="2825" max="2827" width="4.7109375" style="1" customWidth="1"/>
    <col min="2828" max="2828" width="11.7109375" style="1" customWidth="1"/>
    <col min="2829" max="2830" width="7" style="1" customWidth="1"/>
    <col min="2831" max="2831" width="6.42578125" style="1" customWidth="1"/>
    <col min="2832" max="2832" width="15" style="1" customWidth="1"/>
    <col min="2833" max="2833" width="5.28515625" style="1" customWidth="1"/>
    <col min="2834" max="2836" width="4.7109375" style="1" customWidth="1"/>
    <col min="2837" max="2837" width="11.7109375" style="1" customWidth="1"/>
    <col min="2838" max="2838" width="10" style="1" customWidth="1"/>
    <col min="2839" max="2839" width="7.42578125" style="1" customWidth="1"/>
    <col min="2840" max="2840" width="7.140625" style="1" customWidth="1"/>
    <col min="2841" max="2841" width="6.42578125" style="1" customWidth="1"/>
    <col min="2842" max="3072" width="8.7109375" style="1"/>
    <col min="3073" max="3073" width="3.7109375" style="1" customWidth="1"/>
    <col min="3074" max="3074" width="4.28515625" style="1" customWidth="1"/>
    <col min="3075" max="3075" width="11.28515625" style="1" customWidth="1"/>
    <col min="3076" max="3076" width="13.42578125" style="1" customWidth="1"/>
    <col min="3077" max="3079" width="5.42578125" style="1" customWidth="1"/>
    <col min="3080" max="3080" width="8.28515625" style="1" customWidth="1"/>
    <col min="3081" max="3083" width="4.7109375" style="1" customWidth="1"/>
    <col min="3084" max="3084" width="11.7109375" style="1" customWidth="1"/>
    <col min="3085" max="3086" width="7" style="1" customWidth="1"/>
    <col min="3087" max="3087" width="6.42578125" style="1" customWidth="1"/>
    <col min="3088" max="3088" width="15" style="1" customWidth="1"/>
    <col min="3089" max="3089" width="5.28515625" style="1" customWidth="1"/>
    <col min="3090" max="3092" width="4.7109375" style="1" customWidth="1"/>
    <col min="3093" max="3093" width="11.7109375" style="1" customWidth="1"/>
    <col min="3094" max="3094" width="10" style="1" customWidth="1"/>
    <col min="3095" max="3095" width="7.42578125" style="1" customWidth="1"/>
    <col min="3096" max="3096" width="7.140625" style="1" customWidth="1"/>
    <col min="3097" max="3097" width="6.42578125" style="1" customWidth="1"/>
    <col min="3098" max="3328" width="8.7109375" style="1"/>
    <col min="3329" max="3329" width="3.7109375" style="1" customWidth="1"/>
    <col min="3330" max="3330" width="4.28515625" style="1" customWidth="1"/>
    <col min="3331" max="3331" width="11.28515625" style="1" customWidth="1"/>
    <col min="3332" max="3332" width="13.42578125" style="1" customWidth="1"/>
    <col min="3333" max="3335" width="5.42578125" style="1" customWidth="1"/>
    <col min="3336" max="3336" width="8.28515625" style="1" customWidth="1"/>
    <col min="3337" max="3339" width="4.7109375" style="1" customWidth="1"/>
    <col min="3340" max="3340" width="11.7109375" style="1" customWidth="1"/>
    <col min="3341" max="3342" width="7" style="1" customWidth="1"/>
    <col min="3343" max="3343" width="6.42578125" style="1" customWidth="1"/>
    <col min="3344" max="3344" width="15" style="1" customWidth="1"/>
    <col min="3345" max="3345" width="5.28515625" style="1" customWidth="1"/>
    <col min="3346" max="3348" width="4.7109375" style="1" customWidth="1"/>
    <col min="3349" max="3349" width="11.7109375" style="1" customWidth="1"/>
    <col min="3350" max="3350" width="10" style="1" customWidth="1"/>
    <col min="3351" max="3351" width="7.42578125" style="1" customWidth="1"/>
    <col min="3352" max="3352" width="7.140625" style="1" customWidth="1"/>
    <col min="3353" max="3353" width="6.42578125" style="1" customWidth="1"/>
    <col min="3354" max="3584" width="8.7109375" style="1"/>
    <col min="3585" max="3585" width="3.7109375" style="1" customWidth="1"/>
    <col min="3586" max="3586" width="4.28515625" style="1" customWidth="1"/>
    <col min="3587" max="3587" width="11.28515625" style="1" customWidth="1"/>
    <col min="3588" max="3588" width="13.42578125" style="1" customWidth="1"/>
    <col min="3589" max="3591" width="5.42578125" style="1" customWidth="1"/>
    <col min="3592" max="3592" width="8.28515625" style="1" customWidth="1"/>
    <col min="3593" max="3595" width="4.7109375" style="1" customWidth="1"/>
    <col min="3596" max="3596" width="11.7109375" style="1" customWidth="1"/>
    <col min="3597" max="3598" width="7" style="1" customWidth="1"/>
    <col min="3599" max="3599" width="6.42578125" style="1" customWidth="1"/>
    <col min="3600" max="3600" width="15" style="1" customWidth="1"/>
    <col min="3601" max="3601" width="5.28515625" style="1" customWidth="1"/>
    <col min="3602" max="3604" width="4.7109375" style="1" customWidth="1"/>
    <col min="3605" max="3605" width="11.7109375" style="1" customWidth="1"/>
    <col min="3606" max="3606" width="10" style="1" customWidth="1"/>
    <col min="3607" max="3607" width="7.42578125" style="1" customWidth="1"/>
    <col min="3608" max="3608" width="7.140625" style="1" customWidth="1"/>
    <col min="3609" max="3609" width="6.42578125" style="1" customWidth="1"/>
    <col min="3610" max="3840" width="8.7109375" style="1"/>
    <col min="3841" max="3841" width="3.7109375" style="1" customWidth="1"/>
    <col min="3842" max="3842" width="4.28515625" style="1" customWidth="1"/>
    <col min="3843" max="3843" width="11.28515625" style="1" customWidth="1"/>
    <col min="3844" max="3844" width="13.42578125" style="1" customWidth="1"/>
    <col min="3845" max="3847" width="5.42578125" style="1" customWidth="1"/>
    <col min="3848" max="3848" width="8.28515625" style="1" customWidth="1"/>
    <col min="3849" max="3851" width="4.7109375" style="1" customWidth="1"/>
    <col min="3852" max="3852" width="11.7109375" style="1" customWidth="1"/>
    <col min="3853" max="3854" width="7" style="1" customWidth="1"/>
    <col min="3855" max="3855" width="6.42578125" style="1" customWidth="1"/>
    <col min="3856" max="3856" width="15" style="1" customWidth="1"/>
    <col min="3857" max="3857" width="5.28515625" style="1" customWidth="1"/>
    <col min="3858" max="3860" width="4.7109375" style="1" customWidth="1"/>
    <col min="3861" max="3861" width="11.7109375" style="1" customWidth="1"/>
    <col min="3862" max="3862" width="10" style="1" customWidth="1"/>
    <col min="3863" max="3863" width="7.42578125" style="1" customWidth="1"/>
    <col min="3864" max="3864" width="7.140625" style="1" customWidth="1"/>
    <col min="3865" max="3865" width="6.42578125" style="1" customWidth="1"/>
    <col min="3866" max="4096" width="8.7109375" style="1"/>
    <col min="4097" max="4097" width="3.7109375" style="1" customWidth="1"/>
    <col min="4098" max="4098" width="4.28515625" style="1" customWidth="1"/>
    <col min="4099" max="4099" width="11.28515625" style="1" customWidth="1"/>
    <col min="4100" max="4100" width="13.42578125" style="1" customWidth="1"/>
    <col min="4101" max="4103" width="5.42578125" style="1" customWidth="1"/>
    <col min="4104" max="4104" width="8.28515625" style="1" customWidth="1"/>
    <col min="4105" max="4107" width="4.7109375" style="1" customWidth="1"/>
    <col min="4108" max="4108" width="11.7109375" style="1" customWidth="1"/>
    <col min="4109" max="4110" width="7" style="1" customWidth="1"/>
    <col min="4111" max="4111" width="6.42578125" style="1" customWidth="1"/>
    <col min="4112" max="4112" width="15" style="1" customWidth="1"/>
    <col min="4113" max="4113" width="5.28515625" style="1" customWidth="1"/>
    <col min="4114" max="4116" width="4.7109375" style="1" customWidth="1"/>
    <col min="4117" max="4117" width="11.7109375" style="1" customWidth="1"/>
    <col min="4118" max="4118" width="10" style="1" customWidth="1"/>
    <col min="4119" max="4119" width="7.42578125" style="1" customWidth="1"/>
    <col min="4120" max="4120" width="7.140625" style="1" customWidth="1"/>
    <col min="4121" max="4121" width="6.42578125" style="1" customWidth="1"/>
    <col min="4122" max="4352" width="8.7109375" style="1"/>
    <col min="4353" max="4353" width="3.7109375" style="1" customWidth="1"/>
    <col min="4354" max="4354" width="4.28515625" style="1" customWidth="1"/>
    <col min="4355" max="4355" width="11.28515625" style="1" customWidth="1"/>
    <col min="4356" max="4356" width="13.42578125" style="1" customWidth="1"/>
    <col min="4357" max="4359" width="5.42578125" style="1" customWidth="1"/>
    <col min="4360" max="4360" width="8.28515625" style="1" customWidth="1"/>
    <col min="4361" max="4363" width="4.7109375" style="1" customWidth="1"/>
    <col min="4364" max="4364" width="11.7109375" style="1" customWidth="1"/>
    <col min="4365" max="4366" width="7" style="1" customWidth="1"/>
    <col min="4367" max="4367" width="6.42578125" style="1" customWidth="1"/>
    <col min="4368" max="4368" width="15" style="1" customWidth="1"/>
    <col min="4369" max="4369" width="5.28515625" style="1" customWidth="1"/>
    <col min="4370" max="4372" width="4.7109375" style="1" customWidth="1"/>
    <col min="4373" max="4373" width="11.7109375" style="1" customWidth="1"/>
    <col min="4374" max="4374" width="10" style="1" customWidth="1"/>
    <col min="4375" max="4375" width="7.42578125" style="1" customWidth="1"/>
    <col min="4376" max="4376" width="7.140625" style="1" customWidth="1"/>
    <col min="4377" max="4377" width="6.42578125" style="1" customWidth="1"/>
    <col min="4378" max="4608" width="8.7109375" style="1"/>
    <col min="4609" max="4609" width="3.7109375" style="1" customWidth="1"/>
    <col min="4610" max="4610" width="4.28515625" style="1" customWidth="1"/>
    <col min="4611" max="4611" width="11.28515625" style="1" customWidth="1"/>
    <col min="4612" max="4612" width="13.42578125" style="1" customWidth="1"/>
    <col min="4613" max="4615" width="5.42578125" style="1" customWidth="1"/>
    <col min="4616" max="4616" width="8.28515625" style="1" customWidth="1"/>
    <col min="4617" max="4619" width="4.7109375" style="1" customWidth="1"/>
    <col min="4620" max="4620" width="11.7109375" style="1" customWidth="1"/>
    <col min="4621" max="4622" width="7" style="1" customWidth="1"/>
    <col min="4623" max="4623" width="6.42578125" style="1" customWidth="1"/>
    <col min="4624" max="4624" width="15" style="1" customWidth="1"/>
    <col min="4625" max="4625" width="5.28515625" style="1" customWidth="1"/>
    <col min="4626" max="4628" width="4.7109375" style="1" customWidth="1"/>
    <col min="4629" max="4629" width="11.7109375" style="1" customWidth="1"/>
    <col min="4630" max="4630" width="10" style="1" customWidth="1"/>
    <col min="4631" max="4631" width="7.42578125" style="1" customWidth="1"/>
    <col min="4632" max="4632" width="7.140625" style="1" customWidth="1"/>
    <col min="4633" max="4633" width="6.42578125" style="1" customWidth="1"/>
    <col min="4634" max="4864" width="8.7109375" style="1"/>
    <col min="4865" max="4865" width="3.7109375" style="1" customWidth="1"/>
    <col min="4866" max="4866" width="4.28515625" style="1" customWidth="1"/>
    <col min="4867" max="4867" width="11.28515625" style="1" customWidth="1"/>
    <col min="4868" max="4868" width="13.42578125" style="1" customWidth="1"/>
    <col min="4869" max="4871" width="5.42578125" style="1" customWidth="1"/>
    <col min="4872" max="4872" width="8.28515625" style="1" customWidth="1"/>
    <col min="4873" max="4875" width="4.7109375" style="1" customWidth="1"/>
    <col min="4876" max="4876" width="11.7109375" style="1" customWidth="1"/>
    <col min="4877" max="4878" width="7" style="1" customWidth="1"/>
    <col min="4879" max="4879" width="6.42578125" style="1" customWidth="1"/>
    <col min="4880" max="4880" width="15" style="1" customWidth="1"/>
    <col min="4881" max="4881" width="5.28515625" style="1" customWidth="1"/>
    <col min="4882" max="4884" width="4.7109375" style="1" customWidth="1"/>
    <col min="4885" max="4885" width="11.7109375" style="1" customWidth="1"/>
    <col min="4886" max="4886" width="10" style="1" customWidth="1"/>
    <col min="4887" max="4887" width="7.42578125" style="1" customWidth="1"/>
    <col min="4888" max="4888" width="7.140625" style="1" customWidth="1"/>
    <col min="4889" max="4889" width="6.42578125" style="1" customWidth="1"/>
    <col min="4890" max="5120" width="8.7109375" style="1"/>
    <col min="5121" max="5121" width="3.7109375" style="1" customWidth="1"/>
    <col min="5122" max="5122" width="4.28515625" style="1" customWidth="1"/>
    <col min="5123" max="5123" width="11.28515625" style="1" customWidth="1"/>
    <col min="5124" max="5124" width="13.42578125" style="1" customWidth="1"/>
    <col min="5125" max="5127" width="5.42578125" style="1" customWidth="1"/>
    <col min="5128" max="5128" width="8.28515625" style="1" customWidth="1"/>
    <col min="5129" max="5131" width="4.7109375" style="1" customWidth="1"/>
    <col min="5132" max="5132" width="11.7109375" style="1" customWidth="1"/>
    <col min="5133" max="5134" width="7" style="1" customWidth="1"/>
    <col min="5135" max="5135" width="6.42578125" style="1" customWidth="1"/>
    <col min="5136" max="5136" width="15" style="1" customWidth="1"/>
    <col min="5137" max="5137" width="5.28515625" style="1" customWidth="1"/>
    <col min="5138" max="5140" width="4.7109375" style="1" customWidth="1"/>
    <col min="5141" max="5141" width="11.7109375" style="1" customWidth="1"/>
    <col min="5142" max="5142" width="10" style="1" customWidth="1"/>
    <col min="5143" max="5143" width="7.42578125" style="1" customWidth="1"/>
    <col min="5144" max="5144" width="7.140625" style="1" customWidth="1"/>
    <col min="5145" max="5145" width="6.42578125" style="1" customWidth="1"/>
    <col min="5146" max="5376" width="8.7109375" style="1"/>
    <col min="5377" max="5377" width="3.7109375" style="1" customWidth="1"/>
    <col min="5378" max="5378" width="4.28515625" style="1" customWidth="1"/>
    <col min="5379" max="5379" width="11.28515625" style="1" customWidth="1"/>
    <col min="5380" max="5380" width="13.42578125" style="1" customWidth="1"/>
    <col min="5381" max="5383" width="5.42578125" style="1" customWidth="1"/>
    <col min="5384" max="5384" width="8.28515625" style="1" customWidth="1"/>
    <col min="5385" max="5387" width="4.7109375" style="1" customWidth="1"/>
    <col min="5388" max="5388" width="11.7109375" style="1" customWidth="1"/>
    <col min="5389" max="5390" width="7" style="1" customWidth="1"/>
    <col min="5391" max="5391" width="6.42578125" style="1" customWidth="1"/>
    <col min="5392" max="5392" width="15" style="1" customWidth="1"/>
    <col min="5393" max="5393" width="5.28515625" style="1" customWidth="1"/>
    <col min="5394" max="5396" width="4.7109375" style="1" customWidth="1"/>
    <col min="5397" max="5397" width="11.7109375" style="1" customWidth="1"/>
    <col min="5398" max="5398" width="10" style="1" customWidth="1"/>
    <col min="5399" max="5399" width="7.42578125" style="1" customWidth="1"/>
    <col min="5400" max="5400" width="7.140625" style="1" customWidth="1"/>
    <col min="5401" max="5401" width="6.42578125" style="1" customWidth="1"/>
    <col min="5402" max="5632" width="8.7109375" style="1"/>
    <col min="5633" max="5633" width="3.7109375" style="1" customWidth="1"/>
    <col min="5634" max="5634" width="4.28515625" style="1" customWidth="1"/>
    <col min="5635" max="5635" width="11.28515625" style="1" customWidth="1"/>
    <col min="5636" max="5636" width="13.42578125" style="1" customWidth="1"/>
    <col min="5637" max="5639" width="5.42578125" style="1" customWidth="1"/>
    <col min="5640" max="5640" width="8.28515625" style="1" customWidth="1"/>
    <col min="5641" max="5643" width="4.7109375" style="1" customWidth="1"/>
    <col min="5644" max="5644" width="11.7109375" style="1" customWidth="1"/>
    <col min="5645" max="5646" width="7" style="1" customWidth="1"/>
    <col min="5647" max="5647" width="6.42578125" style="1" customWidth="1"/>
    <col min="5648" max="5648" width="15" style="1" customWidth="1"/>
    <col min="5649" max="5649" width="5.28515625" style="1" customWidth="1"/>
    <col min="5650" max="5652" width="4.7109375" style="1" customWidth="1"/>
    <col min="5653" max="5653" width="11.7109375" style="1" customWidth="1"/>
    <col min="5654" max="5654" width="10" style="1" customWidth="1"/>
    <col min="5655" max="5655" width="7.42578125" style="1" customWidth="1"/>
    <col min="5656" max="5656" width="7.140625" style="1" customWidth="1"/>
    <col min="5657" max="5657" width="6.42578125" style="1" customWidth="1"/>
    <col min="5658" max="5888" width="8.7109375" style="1"/>
    <col min="5889" max="5889" width="3.7109375" style="1" customWidth="1"/>
    <col min="5890" max="5890" width="4.28515625" style="1" customWidth="1"/>
    <col min="5891" max="5891" width="11.28515625" style="1" customWidth="1"/>
    <col min="5892" max="5892" width="13.42578125" style="1" customWidth="1"/>
    <col min="5893" max="5895" width="5.42578125" style="1" customWidth="1"/>
    <col min="5896" max="5896" width="8.28515625" style="1" customWidth="1"/>
    <col min="5897" max="5899" width="4.7109375" style="1" customWidth="1"/>
    <col min="5900" max="5900" width="11.7109375" style="1" customWidth="1"/>
    <col min="5901" max="5902" width="7" style="1" customWidth="1"/>
    <col min="5903" max="5903" width="6.42578125" style="1" customWidth="1"/>
    <col min="5904" max="5904" width="15" style="1" customWidth="1"/>
    <col min="5905" max="5905" width="5.28515625" style="1" customWidth="1"/>
    <col min="5906" max="5908" width="4.7109375" style="1" customWidth="1"/>
    <col min="5909" max="5909" width="11.7109375" style="1" customWidth="1"/>
    <col min="5910" max="5910" width="10" style="1" customWidth="1"/>
    <col min="5911" max="5911" width="7.42578125" style="1" customWidth="1"/>
    <col min="5912" max="5912" width="7.140625" style="1" customWidth="1"/>
    <col min="5913" max="5913" width="6.42578125" style="1" customWidth="1"/>
    <col min="5914" max="6144" width="8.7109375" style="1"/>
    <col min="6145" max="6145" width="3.7109375" style="1" customWidth="1"/>
    <col min="6146" max="6146" width="4.28515625" style="1" customWidth="1"/>
    <col min="6147" max="6147" width="11.28515625" style="1" customWidth="1"/>
    <col min="6148" max="6148" width="13.42578125" style="1" customWidth="1"/>
    <col min="6149" max="6151" width="5.42578125" style="1" customWidth="1"/>
    <col min="6152" max="6152" width="8.28515625" style="1" customWidth="1"/>
    <col min="6153" max="6155" width="4.7109375" style="1" customWidth="1"/>
    <col min="6156" max="6156" width="11.7109375" style="1" customWidth="1"/>
    <col min="6157" max="6158" width="7" style="1" customWidth="1"/>
    <col min="6159" max="6159" width="6.42578125" style="1" customWidth="1"/>
    <col min="6160" max="6160" width="15" style="1" customWidth="1"/>
    <col min="6161" max="6161" width="5.28515625" style="1" customWidth="1"/>
    <col min="6162" max="6164" width="4.7109375" style="1" customWidth="1"/>
    <col min="6165" max="6165" width="11.7109375" style="1" customWidth="1"/>
    <col min="6166" max="6166" width="10" style="1" customWidth="1"/>
    <col min="6167" max="6167" width="7.42578125" style="1" customWidth="1"/>
    <col min="6168" max="6168" width="7.140625" style="1" customWidth="1"/>
    <col min="6169" max="6169" width="6.42578125" style="1" customWidth="1"/>
    <col min="6170" max="6400" width="8.7109375" style="1"/>
    <col min="6401" max="6401" width="3.7109375" style="1" customWidth="1"/>
    <col min="6402" max="6402" width="4.28515625" style="1" customWidth="1"/>
    <col min="6403" max="6403" width="11.28515625" style="1" customWidth="1"/>
    <col min="6404" max="6404" width="13.42578125" style="1" customWidth="1"/>
    <col min="6405" max="6407" width="5.42578125" style="1" customWidth="1"/>
    <col min="6408" max="6408" width="8.28515625" style="1" customWidth="1"/>
    <col min="6409" max="6411" width="4.7109375" style="1" customWidth="1"/>
    <col min="6412" max="6412" width="11.7109375" style="1" customWidth="1"/>
    <col min="6413" max="6414" width="7" style="1" customWidth="1"/>
    <col min="6415" max="6415" width="6.42578125" style="1" customWidth="1"/>
    <col min="6416" max="6416" width="15" style="1" customWidth="1"/>
    <col min="6417" max="6417" width="5.28515625" style="1" customWidth="1"/>
    <col min="6418" max="6420" width="4.7109375" style="1" customWidth="1"/>
    <col min="6421" max="6421" width="11.7109375" style="1" customWidth="1"/>
    <col min="6422" max="6422" width="10" style="1" customWidth="1"/>
    <col min="6423" max="6423" width="7.42578125" style="1" customWidth="1"/>
    <col min="6424" max="6424" width="7.140625" style="1" customWidth="1"/>
    <col min="6425" max="6425" width="6.42578125" style="1" customWidth="1"/>
    <col min="6426" max="6656" width="8.7109375" style="1"/>
    <col min="6657" max="6657" width="3.7109375" style="1" customWidth="1"/>
    <col min="6658" max="6658" width="4.28515625" style="1" customWidth="1"/>
    <col min="6659" max="6659" width="11.28515625" style="1" customWidth="1"/>
    <col min="6660" max="6660" width="13.42578125" style="1" customWidth="1"/>
    <col min="6661" max="6663" width="5.42578125" style="1" customWidth="1"/>
    <col min="6664" max="6664" width="8.28515625" style="1" customWidth="1"/>
    <col min="6665" max="6667" width="4.7109375" style="1" customWidth="1"/>
    <col min="6668" max="6668" width="11.7109375" style="1" customWidth="1"/>
    <col min="6669" max="6670" width="7" style="1" customWidth="1"/>
    <col min="6671" max="6671" width="6.42578125" style="1" customWidth="1"/>
    <col min="6672" max="6672" width="15" style="1" customWidth="1"/>
    <col min="6673" max="6673" width="5.28515625" style="1" customWidth="1"/>
    <col min="6674" max="6676" width="4.7109375" style="1" customWidth="1"/>
    <col min="6677" max="6677" width="11.7109375" style="1" customWidth="1"/>
    <col min="6678" max="6678" width="10" style="1" customWidth="1"/>
    <col min="6679" max="6679" width="7.42578125" style="1" customWidth="1"/>
    <col min="6680" max="6680" width="7.140625" style="1" customWidth="1"/>
    <col min="6681" max="6681" width="6.42578125" style="1" customWidth="1"/>
    <col min="6682" max="6912" width="8.7109375" style="1"/>
    <col min="6913" max="6913" width="3.7109375" style="1" customWidth="1"/>
    <col min="6914" max="6914" width="4.28515625" style="1" customWidth="1"/>
    <col min="6915" max="6915" width="11.28515625" style="1" customWidth="1"/>
    <col min="6916" max="6916" width="13.42578125" style="1" customWidth="1"/>
    <col min="6917" max="6919" width="5.42578125" style="1" customWidth="1"/>
    <col min="6920" max="6920" width="8.28515625" style="1" customWidth="1"/>
    <col min="6921" max="6923" width="4.7109375" style="1" customWidth="1"/>
    <col min="6924" max="6924" width="11.7109375" style="1" customWidth="1"/>
    <col min="6925" max="6926" width="7" style="1" customWidth="1"/>
    <col min="6927" max="6927" width="6.42578125" style="1" customWidth="1"/>
    <col min="6928" max="6928" width="15" style="1" customWidth="1"/>
    <col min="6929" max="6929" width="5.28515625" style="1" customWidth="1"/>
    <col min="6930" max="6932" width="4.7109375" style="1" customWidth="1"/>
    <col min="6933" max="6933" width="11.7109375" style="1" customWidth="1"/>
    <col min="6934" max="6934" width="10" style="1" customWidth="1"/>
    <col min="6935" max="6935" width="7.42578125" style="1" customWidth="1"/>
    <col min="6936" max="6936" width="7.140625" style="1" customWidth="1"/>
    <col min="6937" max="6937" width="6.42578125" style="1" customWidth="1"/>
    <col min="6938" max="7168" width="8.7109375" style="1"/>
    <col min="7169" max="7169" width="3.7109375" style="1" customWidth="1"/>
    <col min="7170" max="7170" width="4.28515625" style="1" customWidth="1"/>
    <col min="7171" max="7171" width="11.28515625" style="1" customWidth="1"/>
    <col min="7172" max="7172" width="13.42578125" style="1" customWidth="1"/>
    <col min="7173" max="7175" width="5.42578125" style="1" customWidth="1"/>
    <col min="7176" max="7176" width="8.28515625" style="1" customWidth="1"/>
    <col min="7177" max="7179" width="4.7109375" style="1" customWidth="1"/>
    <col min="7180" max="7180" width="11.7109375" style="1" customWidth="1"/>
    <col min="7181" max="7182" width="7" style="1" customWidth="1"/>
    <col min="7183" max="7183" width="6.42578125" style="1" customWidth="1"/>
    <col min="7184" max="7184" width="15" style="1" customWidth="1"/>
    <col min="7185" max="7185" width="5.28515625" style="1" customWidth="1"/>
    <col min="7186" max="7188" width="4.7109375" style="1" customWidth="1"/>
    <col min="7189" max="7189" width="11.7109375" style="1" customWidth="1"/>
    <col min="7190" max="7190" width="10" style="1" customWidth="1"/>
    <col min="7191" max="7191" width="7.42578125" style="1" customWidth="1"/>
    <col min="7192" max="7192" width="7.140625" style="1" customWidth="1"/>
    <col min="7193" max="7193" width="6.42578125" style="1" customWidth="1"/>
    <col min="7194" max="7424" width="8.7109375" style="1"/>
    <col min="7425" max="7425" width="3.7109375" style="1" customWidth="1"/>
    <col min="7426" max="7426" width="4.28515625" style="1" customWidth="1"/>
    <col min="7427" max="7427" width="11.28515625" style="1" customWidth="1"/>
    <col min="7428" max="7428" width="13.42578125" style="1" customWidth="1"/>
    <col min="7429" max="7431" width="5.42578125" style="1" customWidth="1"/>
    <col min="7432" max="7432" width="8.28515625" style="1" customWidth="1"/>
    <col min="7433" max="7435" width="4.7109375" style="1" customWidth="1"/>
    <col min="7436" max="7436" width="11.7109375" style="1" customWidth="1"/>
    <col min="7437" max="7438" width="7" style="1" customWidth="1"/>
    <col min="7439" max="7439" width="6.42578125" style="1" customWidth="1"/>
    <col min="7440" max="7440" width="15" style="1" customWidth="1"/>
    <col min="7441" max="7441" width="5.28515625" style="1" customWidth="1"/>
    <col min="7442" max="7444" width="4.7109375" style="1" customWidth="1"/>
    <col min="7445" max="7445" width="11.7109375" style="1" customWidth="1"/>
    <col min="7446" max="7446" width="10" style="1" customWidth="1"/>
    <col min="7447" max="7447" width="7.42578125" style="1" customWidth="1"/>
    <col min="7448" max="7448" width="7.140625" style="1" customWidth="1"/>
    <col min="7449" max="7449" width="6.42578125" style="1" customWidth="1"/>
    <col min="7450" max="7680" width="8.7109375" style="1"/>
    <col min="7681" max="7681" width="3.7109375" style="1" customWidth="1"/>
    <col min="7682" max="7682" width="4.28515625" style="1" customWidth="1"/>
    <col min="7683" max="7683" width="11.28515625" style="1" customWidth="1"/>
    <col min="7684" max="7684" width="13.42578125" style="1" customWidth="1"/>
    <col min="7685" max="7687" width="5.42578125" style="1" customWidth="1"/>
    <col min="7688" max="7688" width="8.28515625" style="1" customWidth="1"/>
    <col min="7689" max="7691" width="4.7109375" style="1" customWidth="1"/>
    <col min="7692" max="7692" width="11.7109375" style="1" customWidth="1"/>
    <col min="7693" max="7694" width="7" style="1" customWidth="1"/>
    <col min="7695" max="7695" width="6.42578125" style="1" customWidth="1"/>
    <col min="7696" max="7696" width="15" style="1" customWidth="1"/>
    <col min="7697" max="7697" width="5.28515625" style="1" customWidth="1"/>
    <col min="7698" max="7700" width="4.7109375" style="1" customWidth="1"/>
    <col min="7701" max="7701" width="11.7109375" style="1" customWidth="1"/>
    <col min="7702" max="7702" width="10" style="1" customWidth="1"/>
    <col min="7703" max="7703" width="7.42578125" style="1" customWidth="1"/>
    <col min="7704" max="7704" width="7.140625" style="1" customWidth="1"/>
    <col min="7705" max="7705" width="6.42578125" style="1" customWidth="1"/>
    <col min="7706" max="7936" width="8.7109375" style="1"/>
    <col min="7937" max="7937" width="3.7109375" style="1" customWidth="1"/>
    <col min="7938" max="7938" width="4.28515625" style="1" customWidth="1"/>
    <col min="7939" max="7939" width="11.28515625" style="1" customWidth="1"/>
    <col min="7940" max="7940" width="13.42578125" style="1" customWidth="1"/>
    <col min="7941" max="7943" width="5.42578125" style="1" customWidth="1"/>
    <col min="7944" max="7944" width="8.28515625" style="1" customWidth="1"/>
    <col min="7945" max="7947" width="4.7109375" style="1" customWidth="1"/>
    <col min="7948" max="7948" width="11.7109375" style="1" customWidth="1"/>
    <col min="7949" max="7950" width="7" style="1" customWidth="1"/>
    <col min="7951" max="7951" width="6.42578125" style="1" customWidth="1"/>
    <col min="7952" max="7952" width="15" style="1" customWidth="1"/>
    <col min="7953" max="7953" width="5.28515625" style="1" customWidth="1"/>
    <col min="7954" max="7956" width="4.7109375" style="1" customWidth="1"/>
    <col min="7957" max="7957" width="11.7109375" style="1" customWidth="1"/>
    <col min="7958" max="7958" width="10" style="1" customWidth="1"/>
    <col min="7959" max="7959" width="7.42578125" style="1" customWidth="1"/>
    <col min="7960" max="7960" width="7.140625" style="1" customWidth="1"/>
    <col min="7961" max="7961" width="6.42578125" style="1" customWidth="1"/>
    <col min="7962" max="8192" width="8.7109375" style="1"/>
    <col min="8193" max="8193" width="3.7109375" style="1" customWidth="1"/>
    <col min="8194" max="8194" width="4.28515625" style="1" customWidth="1"/>
    <col min="8195" max="8195" width="11.28515625" style="1" customWidth="1"/>
    <col min="8196" max="8196" width="13.42578125" style="1" customWidth="1"/>
    <col min="8197" max="8199" width="5.42578125" style="1" customWidth="1"/>
    <col min="8200" max="8200" width="8.28515625" style="1" customWidth="1"/>
    <col min="8201" max="8203" width="4.7109375" style="1" customWidth="1"/>
    <col min="8204" max="8204" width="11.7109375" style="1" customWidth="1"/>
    <col min="8205" max="8206" width="7" style="1" customWidth="1"/>
    <col min="8207" max="8207" width="6.42578125" style="1" customWidth="1"/>
    <col min="8208" max="8208" width="15" style="1" customWidth="1"/>
    <col min="8209" max="8209" width="5.28515625" style="1" customWidth="1"/>
    <col min="8210" max="8212" width="4.7109375" style="1" customWidth="1"/>
    <col min="8213" max="8213" width="11.7109375" style="1" customWidth="1"/>
    <col min="8214" max="8214" width="10" style="1" customWidth="1"/>
    <col min="8215" max="8215" width="7.42578125" style="1" customWidth="1"/>
    <col min="8216" max="8216" width="7.140625" style="1" customWidth="1"/>
    <col min="8217" max="8217" width="6.42578125" style="1" customWidth="1"/>
    <col min="8218" max="8448" width="8.7109375" style="1"/>
    <col min="8449" max="8449" width="3.7109375" style="1" customWidth="1"/>
    <col min="8450" max="8450" width="4.28515625" style="1" customWidth="1"/>
    <col min="8451" max="8451" width="11.28515625" style="1" customWidth="1"/>
    <col min="8452" max="8452" width="13.42578125" style="1" customWidth="1"/>
    <col min="8453" max="8455" width="5.42578125" style="1" customWidth="1"/>
    <col min="8456" max="8456" width="8.28515625" style="1" customWidth="1"/>
    <col min="8457" max="8459" width="4.7109375" style="1" customWidth="1"/>
    <col min="8460" max="8460" width="11.7109375" style="1" customWidth="1"/>
    <col min="8461" max="8462" width="7" style="1" customWidth="1"/>
    <col min="8463" max="8463" width="6.42578125" style="1" customWidth="1"/>
    <col min="8464" max="8464" width="15" style="1" customWidth="1"/>
    <col min="8465" max="8465" width="5.28515625" style="1" customWidth="1"/>
    <col min="8466" max="8468" width="4.7109375" style="1" customWidth="1"/>
    <col min="8469" max="8469" width="11.7109375" style="1" customWidth="1"/>
    <col min="8470" max="8470" width="10" style="1" customWidth="1"/>
    <col min="8471" max="8471" width="7.42578125" style="1" customWidth="1"/>
    <col min="8472" max="8472" width="7.140625" style="1" customWidth="1"/>
    <col min="8473" max="8473" width="6.42578125" style="1" customWidth="1"/>
    <col min="8474" max="8704" width="8.7109375" style="1"/>
    <col min="8705" max="8705" width="3.7109375" style="1" customWidth="1"/>
    <col min="8706" max="8706" width="4.28515625" style="1" customWidth="1"/>
    <col min="8707" max="8707" width="11.28515625" style="1" customWidth="1"/>
    <col min="8708" max="8708" width="13.42578125" style="1" customWidth="1"/>
    <col min="8709" max="8711" width="5.42578125" style="1" customWidth="1"/>
    <col min="8712" max="8712" width="8.28515625" style="1" customWidth="1"/>
    <col min="8713" max="8715" width="4.7109375" style="1" customWidth="1"/>
    <col min="8716" max="8716" width="11.7109375" style="1" customWidth="1"/>
    <col min="8717" max="8718" width="7" style="1" customWidth="1"/>
    <col min="8719" max="8719" width="6.42578125" style="1" customWidth="1"/>
    <col min="8720" max="8720" width="15" style="1" customWidth="1"/>
    <col min="8721" max="8721" width="5.28515625" style="1" customWidth="1"/>
    <col min="8722" max="8724" width="4.7109375" style="1" customWidth="1"/>
    <col min="8725" max="8725" width="11.7109375" style="1" customWidth="1"/>
    <col min="8726" max="8726" width="10" style="1" customWidth="1"/>
    <col min="8727" max="8727" width="7.42578125" style="1" customWidth="1"/>
    <col min="8728" max="8728" width="7.140625" style="1" customWidth="1"/>
    <col min="8729" max="8729" width="6.42578125" style="1" customWidth="1"/>
    <col min="8730" max="8960" width="8.7109375" style="1"/>
    <col min="8961" max="8961" width="3.7109375" style="1" customWidth="1"/>
    <col min="8962" max="8962" width="4.28515625" style="1" customWidth="1"/>
    <col min="8963" max="8963" width="11.28515625" style="1" customWidth="1"/>
    <col min="8964" max="8964" width="13.42578125" style="1" customWidth="1"/>
    <col min="8965" max="8967" width="5.42578125" style="1" customWidth="1"/>
    <col min="8968" max="8968" width="8.28515625" style="1" customWidth="1"/>
    <col min="8969" max="8971" width="4.7109375" style="1" customWidth="1"/>
    <col min="8972" max="8972" width="11.7109375" style="1" customWidth="1"/>
    <col min="8973" max="8974" width="7" style="1" customWidth="1"/>
    <col min="8975" max="8975" width="6.42578125" style="1" customWidth="1"/>
    <col min="8976" max="8976" width="15" style="1" customWidth="1"/>
    <col min="8977" max="8977" width="5.28515625" style="1" customWidth="1"/>
    <col min="8978" max="8980" width="4.7109375" style="1" customWidth="1"/>
    <col min="8981" max="8981" width="11.7109375" style="1" customWidth="1"/>
    <col min="8982" max="8982" width="10" style="1" customWidth="1"/>
    <col min="8983" max="8983" width="7.42578125" style="1" customWidth="1"/>
    <col min="8984" max="8984" width="7.140625" style="1" customWidth="1"/>
    <col min="8985" max="8985" width="6.42578125" style="1" customWidth="1"/>
    <col min="8986" max="9216" width="8.7109375" style="1"/>
    <col min="9217" max="9217" width="3.7109375" style="1" customWidth="1"/>
    <col min="9218" max="9218" width="4.28515625" style="1" customWidth="1"/>
    <col min="9219" max="9219" width="11.28515625" style="1" customWidth="1"/>
    <col min="9220" max="9220" width="13.42578125" style="1" customWidth="1"/>
    <col min="9221" max="9223" width="5.42578125" style="1" customWidth="1"/>
    <col min="9224" max="9224" width="8.28515625" style="1" customWidth="1"/>
    <col min="9225" max="9227" width="4.7109375" style="1" customWidth="1"/>
    <col min="9228" max="9228" width="11.7109375" style="1" customWidth="1"/>
    <col min="9229" max="9230" width="7" style="1" customWidth="1"/>
    <col min="9231" max="9231" width="6.42578125" style="1" customWidth="1"/>
    <col min="9232" max="9232" width="15" style="1" customWidth="1"/>
    <col min="9233" max="9233" width="5.28515625" style="1" customWidth="1"/>
    <col min="9234" max="9236" width="4.7109375" style="1" customWidth="1"/>
    <col min="9237" max="9237" width="11.7109375" style="1" customWidth="1"/>
    <col min="9238" max="9238" width="10" style="1" customWidth="1"/>
    <col min="9239" max="9239" width="7.42578125" style="1" customWidth="1"/>
    <col min="9240" max="9240" width="7.140625" style="1" customWidth="1"/>
    <col min="9241" max="9241" width="6.42578125" style="1" customWidth="1"/>
    <col min="9242" max="9472" width="8.7109375" style="1"/>
    <col min="9473" max="9473" width="3.7109375" style="1" customWidth="1"/>
    <col min="9474" max="9474" width="4.28515625" style="1" customWidth="1"/>
    <col min="9475" max="9475" width="11.28515625" style="1" customWidth="1"/>
    <col min="9476" max="9476" width="13.42578125" style="1" customWidth="1"/>
    <col min="9477" max="9479" width="5.42578125" style="1" customWidth="1"/>
    <col min="9480" max="9480" width="8.28515625" style="1" customWidth="1"/>
    <col min="9481" max="9483" width="4.7109375" style="1" customWidth="1"/>
    <col min="9484" max="9484" width="11.7109375" style="1" customWidth="1"/>
    <col min="9485" max="9486" width="7" style="1" customWidth="1"/>
    <col min="9487" max="9487" width="6.42578125" style="1" customWidth="1"/>
    <col min="9488" max="9488" width="15" style="1" customWidth="1"/>
    <col min="9489" max="9489" width="5.28515625" style="1" customWidth="1"/>
    <col min="9490" max="9492" width="4.7109375" style="1" customWidth="1"/>
    <col min="9493" max="9493" width="11.7109375" style="1" customWidth="1"/>
    <col min="9494" max="9494" width="10" style="1" customWidth="1"/>
    <col min="9495" max="9495" width="7.42578125" style="1" customWidth="1"/>
    <col min="9496" max="9496" width="7.140625" style="1" customWidth="1"/>
    <col min="9497" max="9497" width="6.42578125" style="1" customWidth="1"/>
    <col min="9498" max="9728" width="8.7109375" style="1"/>
    <col min="9729" max="9729" width="3.7109375" style="1" customWidth="1"/>
    <col min="9730" max="9730" width="4.28515625" style="1" customWidth="1"/>
    <col min="9731" max="9731" width="11.28515625" style="1" customWidth="1"/>
    <col min="9732" max="9732" width="13.42578125" style="1" customWidth="1"/>
    <col min="9733" max="9735" width="5.42578125" style="1" customWidth="1"/>
    <col min="9736" max="9736" width="8.28515625" style="1" customWidth="1"/>
    <col min="9737" max="9739" width="4.7109375" style="1" customWidth="1"/>
    <col min="9740" max="9740" width="11.7109375" style="1" customWidth="1"/>
    <col min="9741" max="9742" width="7" style="1" customWidth="1"/>
    <col min="9743" max="9743" width="6.42578125" style="1" customWidth="1"/>
    <col min="9744" max="9744" width="15" style="1" customWidth="1"/>
    <col min="9745" max="9745" width="5.28515625" style="1" customWidth="1"/>
    <col min="9746" max="9748" width="4.7109375" style="1" customWidth="1"/>
    <col min="9749" max="9749" width="11.7109375" style="1" customWidth="1"/>
    <col min="9750" max="9750" width="10" style="1" customWidth="1"/>
    <col min="9751" max="9751" width="7.42578125" style="1" customWidth="1"/>
    <col min="9752" max="9752" width="7.140625" style="1" customWidth="1"/>
    <col min="9753" max="9753" width="6.42578125" style="1" customWidth="1"/>
    <col min="9754" max="9984" width="8.7109375" style="1"/>
    <col min="9985" max="9985" width="3.7109375" style="1" customWidth="1"/>
    <col min="9986" max="9986" width="4.28515625" style="1" customWidth="1"/>
    <col min="9987" max="9987" width="11.28515625" style="1" customWidth="1"/>
    <col min="9988" max="9988" width="13.42578125" style="1" customWidth="1"/>
    <col min="9989" max="9991" width="5.42578125" style="1" customWidth="1"/>
    <col min="9992" max="9992" width="8.28515625" style="1" customWidth="1"/>
    <col min="9993" max="9995" width="4.7109375" style="1" customWidth="1"/>
    <col min="9996" max="9996" width="11.7109375" style="1" customWidth="1"/>
    <col min="9997" max="9998" width="7" style="1" customWidth="1"/>
    <col min="9999" max="9999" width="6.42578125" style="1" customWidth="1"/>
    <col min="10000" max="10000" width="15" style="1" customWidth="1"/>
    <col min="10001" max="10001" width="5.28515625" style="1" customWidth="1"/>
    <col min="10002" max="10004" width="4.7109375" style="1" customWidth="1"/>
    <col min="10005" max="10005" width="11.7109375" style="1" customWidth="1"/>
    <col min="10006" max="10006" width="10" style="1" customWidth="1"/>
    <col min="10007" max="10007" width="7.42578125" style="1" customWidth="1"/>
    <col min="10008" max="10008" width="7.140625" style="1" customWidth="1"/>
    <col min="10009" max="10009" width="6.42578125" style="1" customWidth="1"/>
    <col min="10010" max="10240" width="8.7109375" style="1"/>
    <col min="10241" max="10241" width="3.7109375" style="1" customWidth="1"/>
    <col min="10242" max="10242" width="4.28515625" style="1" customWidth="1"/>
    <col min="10243" max="10243" width="11.28515625" style="1" customWidth="1"/>
    <col min="10244" max="10244" width="13.42578125" style="1" customWidth="1"/>
    <col min="10245" max="10247" width="5.42578125" style="1" customWidth="1"/>
    <col min="10248" max="10248" width="8.28515625" style="1" customWidth="1"/>
    <col min="10249" max="10251" width="4.7109375" style="1" customWidth="1"/>
    <col min="10252" max="10252" width="11.7109375" style="1" customWidth="1"/>
    <col min="10253" max="10254" width="7" style="1" customWidth="1"/>
    <col min="10255" max="10255" width="6.42578125" style="1" customWidth="1"/>
    <col min="10256" max="10256" width="15" style="1" customWidth="1"/>
    <col min="10257" max="10257" width="5.28515625" style="1" customWidth="1"/>
    <col min="10258" max="10260" width="4.7109375" style="1" customWidth="1"/>
    <col min="10261" max="10261" width="11.7109375" style="1" customWidth="1"/>
    <col min="10262" max="10262" width="10" style="1" customWidth="1"/>
    <col min="10263" max="10263" width="7.42578125" style="1" customWidth="1"/>
    <col min="10264" max="10264" width="7.140625" style="1" customWidth="1"/>
    <col min="10265" max="10265" width="6.42578125" style="1" customWidth="1"/>
    <col min="10266" max="10496" width="8.7109375" style="1"/>
    <col min="10497" max="10497" width="3.7109375" style="1" customWidth="1"/>
    <col min="10498" max="10498" width="4.28515625" style="1" customWidth="1"/>
    <col min="10499" max="10499" width="11.28515625" style="1" customWidth="1"/>
    <col min="10500" max="10500" width="13.42578125" style="1" customWidth="1"/>
    <col min="10501" max="10503" width="5.42578125" style="1" customWidth="1"/>
    <col min="10504" max="10504" width="8.28515625" style="1" customWidth="1"/>
    <col min="10505" max="10507" width="4.7109375" style="1" customWidth="1"/>
    <col min="10508" max="10508" width="11.7109375" style="1" customWidth="1"/>
    <col min="10509" max="10510" width="7" style="1" customWidth="1"/>
    <col min="10511" max="10511" width="6.42578125" style="1" customWidth="1"/>
    <col min="10512" max="10512" width="15" style="1" customWidth="1"/>
    <col min="10513" max="10513" width="5.28515625" style="1" customWidth="1"/>
    <col min="10514" max="10516" width="4.7109375" style="1" customWidth="1"/>
    <col min="10517" max="10517" width="11.7109375" style="1" customWidth="1"/>
    <col min="10518" max="10518" width="10" style="1" customWidth="1"/>
    <col min="10519" max="10519" width="7.42578125" style="1" customWidth="1"/>
    <col min="10520" max="10520" width="7.140625" style="1" customWidth="1"/>
    <col min="10521" max="10521" width="6.42578125" style="1" customWidth="1"/>
    <col min="10522" max="10752" width="8.7109375" style="1"/>
    <col min="10753" max="10753" width="3.7109375" style="1" customWidth="1"/>
    <col min="10754" max="10754" width="4.28515625" style="1" customWidth="1"/>
    <col min="10755" max="10755" width="11.28515625" style="1" customWidth="1"/>
    <col min="10756" max="10756" width="13.42578125" style="1" customWidth="1"/>
    <col min="10757" max="10759" width="5.42578125" style="1" customWidth="1"/>
    <col min="10760" max="10760" width="8.28515625" style="1" customWidth="1"/>
    <col min="10761" max="10763" width="4.7109375" style="1" customWidth="1"/>
    <col min="10764" max="10764" width="11.7109375" style="1" customWidth="1"/>
    <col min="10765" max="10766" width="7" style="1" customWidth="1"/>
    <col min="10767" max="10767" width="6.42578125" style="1" customWidth="1"/>
    <col min="10768" max="10768" width="15" style="1" customWidth="1"/>
    <col min="10769" max="10769" width="5.28515625" style="1" customWidth="1"/>
    <col min="10770" max="10772" width="4.7109375" style="1" customWidth="1"/>
    <col min="10773" max="10773" width="11.7109375" style="1" customWidth="1"/>
    <col min="10774" max="10774" width="10" style="1" customWidth="1"/>
    <col min="10775" max="10775" width="7.42578125" style="1" customWidth="1"/>
    <col min="10776" max="10776" width="7.140625" style="1" customWidth="1"/>
    <col min="10777" max="10777" width="6.42578125" style="1" customWidth="1"/>
    <col min="10778" max="11008" width="8.7109375" style="1"/>
    <col min="11009" max="11009" width="3.7109375" style="1" customWidth="1"/>
    <col min="11010" max="11010" width="4.28515625" style="1" customWidth="1"/>
    <col min="11011" max="11011" width="11.28515625" style="1" customWidth="1"/>
    <col min="11012" max="11012" width="13.42578125" style="1" customWidth="1"/>
    <col min="11013" max="11015" width="5.42578125" style="1" customWidth="1"/>
    <col min="11016" max="11016" width="8.28515625" style="1" customWidth="1"/>
    <col min="11017" max="11019" width="4.7109375" style="1" customWidth="1"/>
    <col min="11020" max="11020" width="11.7109375" style="1" customWidth="1"/>
    <col min="11021" max="11022" width="7" style="1" customWidth="1"/>
    <col min="11023" max="11023" width="6.42578125" style="1" customWidth="1"/>
    <col min="11024" max="11024" width="15" style="1" customWidth="1"/>
    <col min="11025" max="11025" width="5.28515625" style="1" customWidth="1"/>
    <col min="11026" max="11028" width="4.7109375" style="1" customWidth="1"/>
    <col min="11029" max="11029" width="11.7109375" style="1" customWidth="1"/>
    <col min="11030" max="11030" width="10" style="1" customWidth="1"/>
    <col min="11031" max="11031" width="7.42578125" style="1" customWidth="1"/>
    <col min="11032" max="11032" width="7.140625" style="1" customWidth="1"/>
    <col min="11033" max="11033" width="6.42578125" style="1" customWidth="1"/>
    <col min="11034" max="11264" width="8.7109375" style="1"/>
    <col min="11265" max="11265" width="3.7109375" style="1" customWidth="1"/>
    <col min="11266" max="11266" width="4.28515625" style="1" customWidth="1"/>
    <col min="11267" max="11267" width="11.28515625" style="1" customWidth="1"/>
    <col min="11268" max="11268" width="13.42578125" style="1" customWidth="1"/>
    <col min="11269" max="11271" width="5.42578125" style="1" customWidth="1"/>
    <col min="11272" max="11272" width="8.28515625" style="1" customWidth="1"/>
    <col min="11273" max="11275" width="4.7109375" style="1" customWidth="1"/>
    <col min="11276" max="11276" width="11.7109375" style="1" customWidth="1"/>
    <col min="11277" max="11278" width="7" style="1" customWidth="1"/>
    <col min="11279" max="11279" width="6.42578125" style="1" customWidth="1"/>
    <col min="11280" max="11280" width="15" style="1" customWidth="1"/>
    <col min="11281" max="11281" width="5.28515625" style="1" customWidth="1"/>
    <col min="11282" max="11284" width="4.7109375" style="1" customWidth="1"/>
    <col min="11285" max="11285" width="11.7109375" style="1" customWidth="1"/>
    <col min="11286" max="11286" width="10" style="1" customWidth="1"/>
    <col min="11287" max="11287" width="7.42578125" style="1" customWidth="1"/>
    <col min="11288" max="11288" width="7.140625" style="1" customWidth="1"/>
    <col min="11289" max="11289" width="6.42578125" style="1" customWidth="1"/>
    <col min="11290" max="11520" width="8.7109375" style="1"/>
    <col min="11521" max="11521" width="3.7109375" style="1" customWidth="1"/>
    <col min="11522" max="11522" width="4.28515625" style="1" customWidth="1"/>
    <col min="11523" max="11523" width="11.28515625" style="1" customWidth="1"/>
    <col min="11524" max="11524" width="13.42578125" style="1" customWidth="1"/>
    <col min="11525" max="11527" width="5.42578125" style="1" customWidth="1"/>
    <col min="11528" max="11528" width="8.28515625" style="1" customWidth="1"/>
    <col min="11529" max="11531" width="4.7109375" style="1" customWidth="1"/>
    <col min="11532" max="11532" width="11.7109375" style="1" customWidth="1"/>
    <col min="11533" max="11534" width="7" style="1" customWidth="1"/>
    <col min="11535" max="11535" width="6.42578125" style="1" customWidth="1"/>
    <col min="11536" max="11536" width="15" style="1" customWidth="1"/>
    <col min="11537" max="11537" width="5.28515625" style="1" customWidth="1"/>
    <col min="11538" max="11540" width="4.7109375" style="1" customWidth="1"/>
    <col min="11541" max="11541" width="11.7109375" style="1" customWidth="1"/>
    <col min="11542" max="11542" width="10" style="1" customWidth="1"/>
    <col min="11543" max="11543" width="7.42578125" style="1" customWidth="1"/>
    <col min="11544" max="11544" width="7.140625" style="1" customWidth="1"/>
    <col min="11545" max="11545" width="6.42578125" style="1" customWidth="1"/>
    <col min="11546" max="11776" width="8.7109375" style="1"/>
    <col min="11777" max="11777" width="3.7109375" style="1" customWidth="1"/>
    <col min="11778" max="11778" width="4.28515625" style="1" customWidth="1"/>
    <col min="11779" max="11779" width="11.28515625" style="1" customWidth="1"/>
    <col min="11780" max="11780" width="13.42578125" style="1" customWidth="1"/>
    <col min="11781" max="11783" width="5.42578125" style="1" customWidth="1"/>
    <col min="11784" max="11784" width="8.28515625" style="1" customWidth="1"/>
    <col min="11785" max="11787" width="4.7109375" style="1" customWidth="1"/>
    <col min="11788" max="11788" width="11.7109375" style="1" customWidth="1"/>
    <col min="11789" max="11790" width="7" style="1" customWidth="1"/>
    <col min="11791" max="11791" width="6.42578125" style="1" customWidth="1"/>
    <col min="11792" max="11792" width="15" style="1" customWidth="1"/>
    <col min="11793" max="11793" width="5.28515625" style="1" customWidth="1"/>
    <col min="11794" max="11796" width="4.7109375" style="1" customWidth="1"/>
    <col min="11797" max="11797" width="11.7109375" style="1" customWidth="1"/>
    <col min="11798" max="11798" width="10" style="1" customWidth="1"/>
    <col min="11799" max="11799" width="7.42578125" style="1" customWidth="1"/>
    <col min="11800" max="11800" width="7.140625" style="1" customWidth="1"/>
    <col min="11801" max="11801" width="6.42578125" style="1" customWidth="1"/>
    <col min="11802" max="12032" width="8.7109375" style="1"/>
    <col min="12033" max="12033" width="3.7109375" style="1" customWidth="1"/>
    <col min="12034" max="12034" width="4.28515625" style="1" customWidth="1"/>
    <col min="12035" max="12035" width="11.28515625" style="1" customWidth="1"/>
    <col min="12036" max="12036" width="13.42578125" style="1" customWidth="1"/>
    <col min="12037" max="12039" width="5.42578125" style="1" customWidth="1"/>
    <col min="12040" max="12040" width="8.28515625" style="1" customWidth="1"/>
    <col min="12041" max="12043" width="4.7109375" style="1" customWidth="1"/>
    <col min="12044" max="12044" width="11.7109375" style="1" customWidth="1"/>
    <col min="12045" max="12046" width="7" style="1" customWidth="1"/>
    <col min="12047" max="12047" width="6.42578125" style="1" customWidth="1"/>
    <col min="12048" max="12048" width="15" style="1" customWidth="1"/>
    <col min="12049" max="12049" width="5.28515625" style="1" customWidth="1"/>
    <col min="12050" max="12052" width="4.7109375" style="1" customWidth="1"/>
    <col min="12053" max="12053" width="11.7109375" style="1" customWidth="1"/>
    <col min="12054" max="12054" width="10" style="1" customWidth="1"/>
    <col min="12055" max="12055" width="7.42578125" style="1" customWidth="1"/>
    <col min="12056" max="12056" width="7.140625" style="1" customWidth="1"/>
    <col min="12057" max="12057" width="6.42578125" style="1" customWidth="1"/>
    <col min="12058" max="12288" width="8.7109375" style="1"/>
    <col min="12289" max="12289" width="3.7109375" style="1" customWidth="1"/>
    <col min="12290" max="12290" width="4.28515625" style="1" customWidth="1"/>
    <col min="12291" max="12291" width="11.28515625" style="1" customWidth="1"/>
    <col min="12292" max="12292" width="13.42578125" style="1" customWidth="1"/>
    <col min="12293" max="12295" width="5.42578125" style="1" customWidth="1"/>
    <col min="12296" max="12296" width="8.28515625" style="1" customWidth="1"/>
    <col min="12297" max="12299" width="4.7109375" style="1" customWidth="1"/>
    <col min="12300" max="12300" width="11.7109375" style="1" customWidth="1"/>
    <col min="12301" max="12302" width="7" style="1" customWidth="1"/>
    <col min="12303" max="12303" width="6.42578125" style="1" customWidth="1"/>
    <col min="12304" max="12304" width="15" style="1" customWidth="1"/>
    <col min="12305" max="12305" width="5.28515625" style="1" customWidth="1"/>
    <col min="12306" max="12308" width="4.7109375" style="1" customWidth="1"/>
    <col min="12309" max="12309" width="11.7109375" style="1" customWidth="1"/>
    <col min="12310" max="12310" width="10" style="1" customWidth="1"/>
    <col min="12311" max="12311" width="7.42578125" style="1" customWidth="1"/>
    <col min="12312" max="12312" width="7.140625" style="1" customWidth="1"/>
    <col min="12313" max="12313" width="6.42578125" style="1" customWidth="1"/>
    <col min="12314" max="12544" width="8.7109375" style="1"/>
    <col min="12545" max="12545" width="3.7109375" style="1" customWidth="1"/>
    <col min="12546" max="12546" width="4.28515625" style="1" customWidth="1"/>
    <col min="12547" max="12547" width="11.28515625" style="1" customWidth="1"/>
    <col min="12548" max="12548" width="13.42578125" style="1" customWidth="1"/>
    <col min="12549" max="12551" width="5.42578125" style="1" customWidth="1"/>
    <col min="12552" max="12552" width="8.28515625" style="1" customWidth="1"/>
    <col min="12553" max="12555" width="4.7109375" style="1" customWidth="1"/>
    <col min="12556" max="12556" width="11.7109375" style="1" customWidth="1"/>
    <col min="12557" max="12558" width="7" style="1" customWidth="1"/>
    <col min="12559" max="12559" width="6.42578125" style="1" customWidth="1"/>
    <col min="12560" max="12560" width="15" style="1" customWidth="1"/>
    <col min="12561" max="12561" width="5.28515625" style="1" customWidth="1"/>
    <col min="12562" max="12564" width="4.7109375" style="1" customWidth="1"/>
    <col min="12565" max="12565" width="11.7109375" style="1" customWidth="1"/>
    <col min="12566" max="12566" width="10" style="1" customWidth="1"/>
    <col min="12567" max="12567" width="7.42578125" style="1" customWidth="1"/>
    <col min="12568" max="12568" width="7.140625" style="1" customWidth="1"/>
    <col min="12569" max="12569" width="6.42578125" style="1" customWidth="1"/>
    <col min="12570" max="12800" width="8.7109375" style="1"/>
    <col min="12801" max="12801" width="3.7109375" style="1" customWidth="1"/>
    <col min="12802" max="12802" width="4.28515625" style="1" customWidth="1"/>
    <col min="12803" max="12803" width="11.28515625" style="1" customWidth="1"/>
    <col min="12804" max="12804" width="13.42578125" style="1" customWidth="1"/>
    <col min="12805" max="12807" width="5.42578125" style="1" customWidth="1"/>
    <col min="12808" max="12808" width="8.28515625" style="1" customWidth="1"/>
    <col min="12809" max="12811" width="4.7109375" style="1" customWidth="1"/>
    <col min="12812" max="12812" width="11.7109375" style="1" customWidth="1"/>
    <col min="12813" max="12814" width="7" style="1" customWidth="1"/>
    <col min="12815" max="12815" width="6.42578125" style="1" customWidth="1"/>
    <col min="12816" max="12816" width="15" style="1" customWidth="1"/>
    <col min="12817" max="12817" width="5.28515625" style="1" customWidth="1"/>
    <col min="12818" max="12820" width="4.7109375" style="1" customWidth="1"/>
    <col min="12821" max="12821" width="11.7109375" style="1" customWidth="1"/>
    <col min="12822" max="12822" width="10" style="1" customWidth="1"/>
    <col min="12823" max="12823" width="7.42578125" style="1" customWidth="1"/>
    <col min="12824" max="12824" width="7.140625" style="1" customWidth="1"/>
    <col min="12825" max="12825" width="6.42578125" style="1" customWidth="1"/>
    <col min="12826" max="13056" width="8.7109375" style="1"/>
    <col min="13057" max="13057" width="3.7109375" style="1" customWidth="1"/>
    <col min="13058" max="13058" width="4.28515625" style="1" customWidth="1"/>
    <col min="13059" max="13059" width="11.28515625" style="1" customWidth="1"/>
    <col min="13060" max="13060" width="13.42578125" style="1" customWidth="1"/>
    <col min="13061" max="13063" width="5.42578125" style="1" customWidth="1"/>
    <col min="13064" max="13064" width="8.28515625" style="1" customWidth="1"/>
    <col min="13065" max="13067" width="4.7109375" style="1" customWidth="1"/>
    <col min="13068" max="13068" width="11.7109375" style="1" customWidth="1"/>
    <col min="13069" max="13070" width="7" style="1" customWidth="1"/>
    <col min="13071" max="13071" width="6.42578125" style="1" customWidth="1"/>
    <col min="13072" max="13072" width="15" style="1" customWidth="1"/>
    <col min="13073" max="13073" width="5.28515625" style="1" customWidth="1"/>
    <col min="13074" max="13076" width="4.7109375" style="1" customWidth="1"/>
    <col min="13077" max="13077" width="11.7109375" style="1" customWidth="1"/>
    <col min="13078" max="13078" width="10" style="1" customWidth="1"/>
    <col min="13079" max="13079" width="7.42578125" style="1" customWidth="1"/>
    <col min="13080" max="13080" width="7.140625" style="1" customWidth="1"/>
    <col min="13081" max="13081" width="6.42578125" style="1" customWidth="1"/>
    <col min="13082" max="13312" width="8.7109375" style="1"/>
    <col min="13313" max="13313" width="3.7109375" style="1" customWidth="1"/>
    <col min="13314" max="13314" width="4.28515625" style="1" customWidth="1"/>
    <col min="13315" max="13315" width="11.28515625" style="1" customWidth="1"/>
    <col min="13316" max="13316" width="13.42578125" style="1" customWidth="1"/>
    <col min="13317" max="13319" width="5.42578125" style="1" customWidth="1"/>
    <col min="13320" max="13320" width="8.28515625" style="1" customWidth="1"/>
    <col min="13321" max="13323" width="4.7109375" style="1" customWidth="1"/>
    <col min="13324" max="13324" width="11.7109375" style="1" customWidth="1"/>
    <col min="13325" max="13326" width="7" style="1" customWidth="1"/>
    <col min="13327" max="13327" width="6.42578125" style="1" customWidth="1"/>
    <col min="13328" max="13328" width="15" style="1" customWidth="1"/>
    <col min="13329" max="13329" width="5.28515625" style="1" customWidth="1"/>
    <col min="13330" max="13332" width="4.7109375" style="1" customWidth="1"/>
    <col min="13333" max="13333" width="11.7109375" style="1" customWidth="1"/>
    <col min="13334" max="13334" width="10" style="1" customWidth="1"/>
    <col min="13335" max="13335" width="7.42578125" style="1" customWidth="1"/>
    <col min="13336" max="13336" width="7.140625" style="1" customWidth="1"/>
    <col min="13337" max="13337" width="6.42578125" style="1" customWidth="1"/>
    <col min="13338" max="13568" width="8.7109375" style="1"/>
    <col min="13569" max="13569" width="3.7109375" style="1" customWidth="1"/>
    <col min="13570" max="13570" width="4.28515625" style="1" customWidth="1"/>
    <col min="13571" max="13571" width="11.28515625" style="1" customWidth="1"/>
    <col min="13572" max="13572" width="13.42578125" style="1" customWidth="1"/>
    <col min="13573" max="13575" width="5.42578125" style="1" customWidth="1"/>
    <col min="13576" max="13576" width="8.28515625" style="1" customWidth="1"/>
    <col min="13577" max="13579" width="4.7109375" style="1" customWidth="1"/>
    <col min="13580" max="13580" width="11.7109375" style="1" customWidth="1"/>
    <col min="13581" max="13582" width="7" style="1" customWidth="1"/>
    <col min="13583" max="13583" width="6.42578125" style="1" customWidth="1"/>
    <col min="13584" max="13584" width="15" style="1" customWidth="1"/>
    <col min="13585" max="13585" width="5.28515625" style="1" customWidth="1"/>
    <col min="13586" max="13588" width="4.7109375" style="1" customWidth="1"/>
    <col min="13589" max="13589" width="11.7109375" style="1" customWidth="1"/>
    <col min="13590" max="13590" width="10" style="1" customWidth="1"/>
    <col min="13591" max="13591" width="7.42578125" style="1" customWidth="1"/>
    <col min="13592" max="13592" width="7.140625" style="1" customWidth="1"/>
    <col min="13593" max="13593" width="6.42578125" style="1" customWidth="1"/>
    <col min="13594" max="13824" width="8.7109375" style="1"/>
    <col min="13825" max="13825" width="3.7109375" style="1" customWidth="1"/>
    <col min="13826" max="13826" width="4.28515625" style="1" customWidth="1"/>
    <col min="13827" max="13827" width="11.28515625" style="1" customWidth="1"/>
    <col min="13828" max="13828" width="13.42578125" style="1" customWidth="1"/>
    <col min="13829" max="13831" width="5.42578125" style="1" customWidth="1"/>
    <col min="13832" max="13832" width="8.28515625" style="1" customWidth="1"/>
    <col min="13833" max="13835" width="4.7109375" style="1" customWidth="1"/>
    <col min="13836" max="13836" width="11.7109375" style="1" customWidth="1"/>
    <col min="13837" max="13838" width="7" style="1" customWidth="1"/>
    <col min="13839" max="13839" width="6.42578125" style="1" customWidth="1"/>
    <col min="13840" max="13840" width="15" style="1" customWidth="1"/>
    <col min="13841" max="13841" width="5.28515625" style="1" customWidth="1"/>
    <col min="13842" max="13844" width="4.7109375" style="1" customWidth="1"/>
    <col min="13845" max="13845" width="11.7109375" style="1" customWidth="1"/>
    <col min="13846" max="13846" width="10" style="1" customWidth="1"/>
    <col min="13847" max="13847" width="7.42578125" style="1" customWidth="1"/>
    <col min="13848" max="13848" width="7.140625" style="1" customWidth="1"/>
    <col min="13849" max="13849" width="6.42578125" style="1" customWidth="1"/>
    <col min="13850" max="14080" width="8.7109375" style="1"/>
    <col min="14081" max="14081" width="3.7109375" style="1" customWidth="1"/>
    <col min="14082" max="14082" width="4.28515625" style="1" customWidth="1"/>
    <col min="14083" max="14083" width="11.28515625" style="1" customWidth="1"/>
    <col min="14084" max="14084" width="13.42578125" style="1" customWidth="1"/>
    <col min="14085" max="14087" width="5.42578125" style="1" customWidth="1"/>
    <col min="14088" max="14088" width="8.28515625" style="1" customWidth="1"/>
    <col min="14089" max="14091" width="4.7109375" style="1" customWidth="1"/>
    <col min="14092" max="14092" width="11.7109375" style="1" customWidth="1"/>
    <col min="14093" max="14094" width="7" style="1" customWidth="1"/>
    <col min="14095" max="14095" width="6.42578125" style="1" customWidth="1"/>
    <col min="14096" max="14096" width="15" style="1" customWidth="1"/>
    <col min="14097" max="14097" width="5.28515625" style="1" customWidth="1"/>
    <col min="14098" max="14100" width="4.7109375" style="1" customWidth="1"/>
    <col min="14101" max="14101" width="11.7109375" style="1" customWidth="1"/>
    <col min="14102" max="14102" width="10" style="1" customWidth="1"/>
    <col min="14103" max="14103" width="7.42578125" style="1" customWidth="1"/>
    <col min="14104" max="14104" width="7.140625" style="1" customWidth="1"/>
    <col min="14105" max="14105" width="6.42578125" style="1" customWidth="1"/>
    <col min="14106" max="14336" width="8.7109375" style="1"/>
    <col min="14337" max="14337" width="3.7109375" style="1" customWidth="1"/>
    <col min="14338" max="14338" width="4.28515625" style="1" customWidth="1"/>
    <col min="14339" max="14339" width="11.28515625" style="1" customWidth="1"/>
    <col min="14340" max="14340" width="13.42578125" style="1" customWidth="1"/>
    <col min="14341" max="14343" width="5.42578125" style="1" customWidth="1"/>
    <col min="14344" max="14344" width="8.28515625" style="1" customWidth="1"/>
    <col min="14345" max="14347" width="4.7109375" style="1" customWidth="1"/>
    <col min="14348" max="14348" width="11.7109375" style="1" customWidth="1"/>
    <col min="14349" max="14350" width="7" style="1" customWidth="1"/>
    <col min="14351" max="14351" width="6.42578125" style="1" customWidth="1"/>
    <col min="14352" max="14352" width="15" style="1" customWidth="1"/>
    <col min="14353" max="14353" width="5.28515625" style="1" customWidth="1"/>
    <col min="14354" max="14356" width="4.7109375" style="1" customWidth="1"/>
    <col min="14357" max="14357" width="11.7109375" style="1" customWidth="1"/>
    <col min="14358" max="14358" width="10" style="1" customWidth="1"/>
    <col min="14359" max="14359" width="7.42578125" style="1" customWidth="1"/>
    <col min="14360" max="14360" width="7.140625" style="1" customWidth="1"/>
    <col min="14361" max="14361" width="6.42578125" style="1" customWidth="1"/>
    <col min="14362" max="14592" width="8.7109375" style="1"/>
    <col min="14593" max="14593" width="3.7109375" style="1" customWidth="1"/>
    <col min="14594" max="14594" width="4.28515625" style="1" customWidth="1"/>
    <col min="14595" max="14595" width="11.28515625" style="1" customWidth="1"/>
    <col min="14596" max="14596" width="13.42578125" style="1" customWidth="1"/>
    <col min="14597" max="14599" width="5.42578125" style="1" customWidth="1"/>
    <col min="14600" max="14600" width="8.28515625" style="1" customWidth="1"/>
    <col min="14601" max="14603" width="4.7109375" style="1" customWidth="1"/>
    <col min="14604" max="14604" width="11.7109375" style="1" customWidth="1"/>
    <col min="14605" max="14606" width="7" style="1" customWidth="1"/>
    <col min="14607" max="14607" width="6.42578125" style="1" customWidth="1"/>
    <col min="14608" max="14608" width="15" style="1" customWidth="1"/>
    <col min="14609" max="14609" width="5.28515625" style="1" customWidth="1"/>
    <col min="14610" max="14612" width="4.7109375" style="1" customWidth="1"/>
    <col min="14613" max="14613" width="11.7109375" style="1" customWidth="1"/>
    <col min="14614" max="14614" width="10" style="1" customWidth="1"/>
    <col min="14615" max="14615" width="7.42578125" style="1" customWidth="1"/>
    <col min="14616" max="14616" width="7.140625" style="1" customWidth="1"/>
    <col min="14617" max="14617" width="6.42578125" style="1" customWidth="1"/>
    <col min="14618" max="14848" width="8.7109375" style="1"/>
    <col min="14849" max="14849" width="3.7109375" style="1" customWidth="1"/>
    <col min="14850" max="14850" width="4.28515625" style="1" customWidth="1"/>
    <col min="14851" max="14851" width="11.28515625" style="1" customWidth="1"/>
    <col min="14852" max="14852" width="13.42578125" style="1" customWidth="1"/>
    <col min="14853" max="14855" width="5.42578125" style="1" customWidth="1"/>
    <col min="14856" max="14856" width="8.28515625" style="1" customWidth="1"/>
    <col min="14857" max="14859" width="4.7109375" style="1" customWidth="1"/>
    <col min="14860" max="14860" width="11.7109375" style="1" customWidth="1"/>
    <col min="14861" max="14862" width="7" style="1" customWidth="1"/>
    <col min="14863" max="14863" width="6.42578125" style="1" customWidth="1"/>
    <col min="14864" max="14864" width="15" style="1" customWidth="1"/>
    <col min="14865" max="14865" width="5.28515625" style="1" customWidth="1"/>
    <col min="14866" max="14868" width="4.7109375" style="1" customWidth="1"/>
    <col min="14869" max="14869" width="11.7109375" style="1" customWidth="1"/>
    <col min="14870" max="14870" width="10" style="1" customWidth="1"/>
    <col min="14871" max="14871" width="7.42578125" style="1" customWidth="1"/>
    <col min="14872" max="14872" width="7.140625" style="1" customWidth="1"/>
    <col min="14873" max="14873" width="6.42578125" style="1" customWidth="1"/>
    <col min="14874" max="15104" width="8.7109375" style="1"/>
    <col min="15105" max="15105" width="3.7109375" style="1" customWidth="1"/>
    <col min="15106" max="15106" width="4.28515625" style="1" customWidth="1"/>
    <col min="15107" max="15107" width="11.28515625" style="1" customWidth="1"/>
    <col min="15108" max="15108" width="13.42578125" style="1" customWidth="1"/>
    <col min="15109" max="15111" width="5.42578125" style="1" customWidth="1"/>
    <col min="15112" max="15112" width="8.28515625" style="1" customWidth="1"/>
    <col min="15113" max="15115" width="4.7109375" style="1" customWidth="1"/>
    <col min="15116" max="15116" width="11.7109375" style="1" customWidth="1"/>
    <col min="15117" max="15118" width="7" style="1" customWidth="1"/>
    <col min="15119" max="15119" width="6.42578125" style="1" customWidth="1"/>
    <col min="15120" max="15120" width="15" style="1" customWidth="1"/>
    <col min="15121" max="15121" width="5.28515625" style="1" customWidth="1"/>
    <col min="15122" max="15124" width="4.7109375" style="1" customWidth="1"/>
    <col min="15125" max="15125" width="11.7109375" style="1" customWidth="1"/>
    <col min="15126" max="15126" width="10" style="1" customWidth="1"/>
    <col min="15127" max="15127" width="7.42578125" style="1" customWidth="1"/>
    <col min="15128" max="15128" width="7.140625" style="1" customWidth="1"/>
    <col min="15129" max="15129" width="6.42578125" style="1" customWidth="1"/>
    <col min="15130" max="15360" width="8.7109375" style="1"/>
    <col min="15361" max="15361" width="3.7109375" style="1" customWidth="1"/>
    <col min="15362" max="15362" width="4.28515625" style="1" customWidth="1"/>
    <col min="15363" max="15363" width="11.28515625" style="1" customWidth="1"/>
    <col min="15364" max="15364" width="13.42578125" style="1" customWidth="1"/>
    <col min="15365" max="15367" width="5.42578125" style="1" customWidth="1"/>
    <col min="15368" max="15368" width="8.28515625" style="1" customWidth="1"/>
    <col min="15369" max="15371" width="4.7109375" style="1" customWidth="1"/>
    <col min="15372" max="15372" width="11.7109375" style="1" customWidth="1"/>
    <col min="15373" max="15374" width="7" style="1" customWidth="1"/>
    <col min="15375" max="15375" width="6.42578125" style="1" customWidth="1"/>
    <col min="15376" max="15376" width="15" style="1" customWidth="1"/>
    <col min="15377" max="15377" width="5.28515625" style="1" customWidth="1"/>
    <col min="15378" max="15380" width="4.7109375" style="1" customWidth="1"/>
    <col min="15381" max="15381" width="11.7109375" style="1" customWidth="1"/>
    <col min="15382" max="15382" width="10" style="1" customWidth="1"/>
    <col min="15383" max="15383" width="7.42578125" style="1" customWidth="1"/>
    <col min="15384" max="15384" width="7.140625" style="1" customWidth="1"/>
    <col min="15385" max="15385" width="6.42578125" style="1" customWidth="1"/>
    <col min="15386" max="15616" width="8.7109375" style="1"/>
    <col min="15617" max="15617" width="3.7109375" style="1" customWidth="1"/>
    <col min="15618" max="15618" width="4.28515625" style="1" customWidth="1"/>
    <col min="15619" max="15619" width="11.28515625" style="1" customWidth="1"/>
    <col min="15620" max="15620" width="13.42578125" style="1" customWidth="1"/>
    <col min="15621" max="15623" width="5.42578125" style="1" customWidth="1"/>
    <col min="15624" max="15624" width="8.28515625" style="1" customWidth="1"/>
    <col min="15625" max="15627" width="4.7109375" style="1" customWidth="1"/>
    <col min="15628" max="15628" width="11.7109375" style="1" customWidth="1"/>
    <col min="15629" max="15630" width="7" style="1" customWidth="1"/>
    <col min="15631" max="15631" width="6.42578125" style="1" customWidth="1"/>
    <col min="15632" max="15632" width="15" style="1" customWidth="1"/>
    <col min="15633" max="15633" width="5.28515625" style="1" customWidth="1"/>
    <col min="15634" max="15636" width="4.7109375" style="1" customWidth="1"/>
    <col min="15637" max="15637" width="11.7109375" style="1" customWidth="1"/>
    <col min="15638" max="15638" width="10" style="1" customWidth="1"/>
    <col min="15639" max="15639" width="7.42578125" style="1" customWidth="1"/>
    <col min="15640" max="15640" width="7.140625" style="1" customWidth="1"/>
    <col min="15641" max="15641" width="6.42578125" style="1" customWidth="1"/>
    <col min="15642" max="15872" width="8.7109375" style="1"/>
    <col min="15873" max="15873" width="3.7109375" style="1" customWidth="1"/>
    <col min="15874" max="15874" width="4.28515625" style="1" customWidth="1"/>
    <col min="15875" max="15875" width="11.28515625" style="1" customWidth="1"/>
    <col min="15876" max="15876" width="13.42578125" style="1" customWidth="1"/>
    <col min="15877" max="15879" width="5.42578125" style="1" customWidth="1"/>
    <col min="15880" max="15880" width="8.28515625" style="1" customWidth="1"/>
    <col min="15881" max="15883" width="4.7109375" style="1" customWidth="1"/>
    <col min="15884" max="15884" width="11.7109375" style="1" customWidth="1"/>
    <col min="15885" max="15886" width="7" style="1" customWidth="1"/>
    <col min="15887" max="15887" width="6.42578125" style="1" customWidth="1"/>
    <col min="15888" max="15888" width="15" style="1" customWidth="1"/>
    <col min="15889" max="15889" width="5.28515625" style="1" customWidth="1"/>
    <col min="15890" max="15892" width="4.7109375" style="1" customWidth="1"/>
    <col min="15893" max="15893" width="11.7109375" style="1" customWidth="1"/>
    <col min="15894" max="15894" width="10" style="1" customWidth="1"/>
    <col min="15895" max="15895" width="7.42578125" style="1" customWidth="1"/>
    <col min="15896" max="15896" width="7.140625" style="1" customWidth="1"/>
    <col min="15897" max="15897" width="6.42578125" style="1" customWidth="1"/>
    <col min="15898" max="16128" width="8.7109375" style="1"/>
    <col min="16129" max="16129" width="3.7109375" style="1" customWidth="1"/>
    <col min="16130" max="16130" width="4.28515625" style="1" customWidth="1"/>
    <col min="16131" max="16131" width="11.28515625" style="1" customWidth="1"/>
    <col min="16132" max="16132" width="13.42578125" style="1" customWidth="1"/>
    <col min="16133" max="16135" width="5.42578125" style="1" customWidth="1"/>
    <col min="16136" max="16136" width="8.28515625" style="1" customWidth="1"/>
    <col min="16137" max="16139" width="4.7109375" style="1" customWidth="1"/>
    <col min="16140" max="16140" width="11.7109375" style="1" customWidth="1"/>
    <col min="16141" max="16142" width="7" style="1" customWidth="1"/>
    <col min="16143" max="16143" width="6.42578125" style="1" customWidth="1"/>
    <col min="16144" max="16144" width="15" style="1" customWidth="1"/>
    <col min="16145" max="16145" width="5.28515625" style="1" customWidth="1"/>
    <col min="16146" max="16148" width="4.7109375" style="1" customWidth="1"/>
    <col min="16149" max="16149" width="11.7109375" style="1" customWidth="1"/>
    <col min="16150" max="16150" width="10" style="1" customWidth="1"/>
    <col min="16151" max="16151" width="7.42578125" style="1" customWidth="1"/>
    <col min="16152" max="16152" width="7.140625" style="1" customWidth="1"/>
    <col min="16153" max="16153" width="6.42578125" style="1" customWidth="1"/>
    <col min="16154" max="16384" width="8.7109375" style="1"/>
  </cols>
  <sheetData>
    <row r="1" spans="2:27" x14ac:dyDescent="0.25">
      <c r="B1" s="1" t="s">
        <v>0</v>
      </c>
      <c r="F1" s="2"/>
      <c r="O1" s="1"/>
      <c r="P1" s="1"/>
      <c r="Q1" s="1"/>
      <c r="R1" s="1"/>
      <c r="S1" s="1"/>
      <c r="T1" s="1"/>
      <c r="U1" s="1"/>
      <c r="V1" s="1"/>
      <c r="W1" s="1"/>
      <c r="X1" s="1"/>
      <c r="Y1" s="2" t="s">
        <v>1</v>
      </c>
    </row>
    <row r="2" spans="2:27" ht="15" customHeight="1" x14ac:dyDescent="0.25">
      <c r="B2" s="1" t="s">
        <v>42</v>
      </c>
      <c r="F2" s="3"/>
      <c r="O2" s="1"/>
      <c r="P2" s="1"/>
      <c r="Q2" s="1"/>
      <c r="R2" s="1"/>
      <c r="S2" s="1"/>
      <c r="T2" s="1"/>
      <c r="U2" s="1"/>
      <c r="V2" s="1"/>
      <c r="W2" s="1"/>
      <c r="X2" s="1"/>
      <c r="Y2" s="1" t="s">
        <v>2</v>
      </c>
    </row>
    <row r="3" spans="2:27" ht="15" customHeight="1" x14ac:dyDescent="0.25">
      <c r="B3" s="1" t="s">
        <v>95</v>
      </c>
      <c r="F3" s="3"/>
      <c r="O3" s="1"/>
      <c r="P3" s="1"/>
      <c r="Q3" s="1"/>
      <c r="R3" s="1"/>
      <c r="S3" s="1"/>
      <c r="T3" s="1"/>
      <c r="U3" s="1"/>
      <c r="V3" s="1"/>
      <c r="W3" s="1"/>
      <c r="X3" s="1"/>
      <c r="Y3" s="4" t="s">
        <v>3</v>
      </c>
    </row>
    <row r="4" spans="2:27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2:27" ht="17.25" customHeight="1" x14ac:dyDescent="0.25">
      <c r="B5" s="44" t="s">
        <v>98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2:27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2:27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2:27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2:27" ht="39.7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3"/>
      <c r="P9" s="64" t="s">
        <v>12</v>
      </c>
      <c r="Q9" s="65"/>
      <c r="R9" s="65"/>
      <c r="S9" s="65"/>
      <c r="T9" s="65"/>
      <c r="U9" s="65"/>
      <c r="V9" s="65"/>
      <c r="W9" s="65"/>
      <c r="X9" s="65"/>
      <c r="Y9" s="66"/>
      <c r="Z9" s="9" t="s">
        <v>13</v>
      </c>
      <c r="AA9" s="46" t="s">
        <v>14</v>
      </c>
    </row>
    <row r="10" spans="2:27" s="11" customFormat="1" ht="23.25" customHeight="1" x14ac:dyDescent="0.25">
      <c r="B10" s="60"/>
      <c r="C10" s="60"/>
      <c r="D10" s="60"/>
      <c r="E10" s="60"/>
      <c r="F10" s="49" t="s">
        <v>15</v>
      </c>
      <c r="G10" s="67" t="s">
        <v>15</v>
      </c>
      <c r="H10" s="67"/>
      <c r="I10" s="67"/>
      <c r="J10" s="67"/>
      <c r="K10" s="67"/>
      <c r="L10" s="67"/>
      <c r="M10" s="67"/>
      <c r="N10" s="67"/>
      <c r="O10" s="67" t="s">
        <v>15</v>
      </c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49" t="s">
        <v>16</v>
      </c>
      <c r="AA10" s="47"/>
    </row>
    <row r="11" spans="2:27" s="12" customFormat="1" ht="94.15" customHeight="1" x14ac:dyDescent="0.25">
      <c r="B11" s="60"/>
      <c r="C11" s="60"/>
      <c r="D11" s="60"/>
      <c r="E11" s="60"/>
      <c r="F11" s="50"/>
      <c r="G11" s="10" t="s">
        <v>130</v>
      </c>
      <c r="H11" s="10" t="s">
        <v>132</v>
      </c>
      <c r="I11" s="29" t="s">
        <v>135</v>
      </c>
      <c r="J11" s="29" t="s">
        <v>136</v>
      </c>
      <c r="K11" s="30" t="s">
        <v>137</v>
      </c>
      <c r="L11" s="30" t="s">
        <v>140</v>
      </c>
      <c r="M11" s="29" t="s">
        <v>141</v>
      </c>
      <c r="N11" s="29" t="s">
        <v>142</v>
      </c>
      <c r="O11" s="10" t="s">
        <v>17</v>
      </c>
      <c r="P11" s="10" t="s">
        <v>130</v>
      </c>
      <c r="Q11" s="10" t="s">
        <v>131</v>
      </c>
      <c r="R11" s="10" t="s">
        <v>132</v>
      </c>
      <c r="S11" s="10" t="s">
        <v>133</v>
      </c>
      <c r="T11" s="29" t="s">
        <v>134</v>
      </c>
      <c r="U11" s="29" t="s">
        <v>138</v>
      </c>
      <c r="V11" s="29" t="s">
        <v>139</v>
      </c>
      <c r="W11" s="29" t="s">
        <v>141</v>
      </c>
      <c r="X11" s="29" t="s">
        <v>142</v>
      </c>
      <c r="Y11" s="8" t="s">
        <v>18</v>
      </c>
      <c r="Z11" s="50"/>
      <c r="AA11" s="48"/>
    </row>
    <row r="12" spans="2:27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26</v>
      </c>
      <c r="P12" s="14" t="s">
        <v>27</v>
      </c>
      <c r="Q12" s="14" t="s">
        <v>28</v>
      </c>
      <c r="R12" s="14" t="s">
        <v>56</v>
      </c>
      <c r="S12" s="14" t="s">
        <v>57</v>
      </c>
      <c r="T12" s="14" t="s">
        <v>58</v>
      </c>
      <c r="U12" s="14" t="s">
        <v>59</v>
      </c>
      <c r="V12" s="14" t="s">
        <v>60</v>
      </c>
      <c r="W12" s="14" t="s">
        <v>61</v>
      </c>
      <c r="X12" s="14" t="s">
        <v>62</v>
      </c>
      <c r="Y12" s="14" t="s">
        <v>29</v>
      </c>
      <c r="Z12" s="13" t="s">
        <v>30</v>
      </c>
      <c r="AA12" s="13" t="s">
        <v>31</v>
      </c>
    </row>
    <row r="13" spans="2:27" s="22" customFormat="1" ht="74.25" customHeight="1" x14ac:dyDescent="0.25">
      <c r="B13" s="15">
        <v>1</v>
      </c>
      <c r="C13" s="24" t="s">
        <v>44</v>
      </c>
      <c r="D13" s="16"/>
      <c r="E13" s="16" t="s">
        <v>45</v>
      </c>
      <c r="F13" s="16">
        <f>'T01'!AJ14</f>
        <v>1109</v>
      </c>
      <c r="G13" s="23">
        <v>4</v>
      </c>
      <c r="H13" s="23">
        <v>4</v>
      </c>
      <c r="I13" s="23">
        <v>8</v>
      </c>
      <c r="J13" s="23">
        <v>4</v>
      </c>
      <c r="K13" s="23">
        <f>4*3</f>
        <v>12</v>
      </c>
      <c r="L13" s="23">
        <f>3*3</f>
        <v>9</v>
      </c>
      <c r="M13" s="23">
        <f>4+4*7</f>
        <v>32</v>
      </c>
      <c r="N13" s="23">
        <f>10*3+4*3+2+3*4+5*4+3+2</f>
        <v>81</v>
      </c>
      <c r="O13" s="25">
        <f>SUM(G13:N13)</f>
        <v>154</v>
      </c>
      <c r="P13" s="16">
        <f>4*2</f>
        <v>8</v>
      </c>
      <c r="Q13" s="16">
        <v>4</v>
      </c>
      <c r="R13" s="16">
        <f>4+3</f>
        <v>7</v>
      </c>
      <c r="S13" s="23">
        <f>4+3</f>
        <v>7</v>
      </c>
      <c r="T13" s="16">
        <v>8</v>
      </c>
      <c r="U13" s="16">
        <f>4+4+4+3+3</f>
        <v>18</v>
      </c>
      <c r="V13" s="16">
        <f>4+4+3+4+8</f>
        <v>23</v>
      </c>
      <c r="W13" s="16">
        <f>4*3+4</f>
        <v>16</v>
      </c>
      <c r="X13" s="16">
        <f>2+ 4*2+3*4+4*3</f>
        <v>34</v>
      </c>
      <c r="Y13" s="25">
        <f>SUM(P13:X13)</f>
        <v>125</v>
      </c>
      <c r="Z13" s="25">
        <f>F13+O13-Y13</f>
        <v>1138</v>
      </c>
      <c r="AA13" s="23" t="s">
        <v>93</v>
      </c>
    </row>
    <row r="14" spans="2:27" ht="24" customHeight="1" x14ac:dyDescent="0.25">
      <c r="B14" s="15" t="s">
        <v>32</v>
      </c>
      <c r="C14" s="15"/>
      <c r="D14" s="15"/>
      <c r="E14" s="15"/>
      <c r="F14" s="8">
        <f>F13</f>
        <v>1109</v>
      </c>
      <c r="G14" s="8">
        <f t="shared" ref="G14:Z14" si="0">G13</f>
        <v>4</v>
      </c>
      <c r="H14" s="8">
        <f t="shared" si="0"/>
        <v>4</v>
      </c>
      <c r="I14" s="8">
        <f t="shared" si="0"/>
        <v>8</v>
      </c>
      <c r="J14" s="8">
        <f t="shared" si="0"/>
        <v>4</v>
      </c>
      <c r="K14" s="8">
        <f t="shared" si="0"/>
        <v>12</v>
      </c>
      <c r="L14" s="8">
        <f t="shared" si="0"/>
        <v>9</v>
      </c>
      <c r="M14" s="8">
        <f t="shared" si="0"/>
        <v>32</v>
      </c>
      <c r="N14" s="8">
        <f t="shared" si="0"/>
        <v>81</v>
      </c>
      <c r="O14" s="8">
        <f>SUM(G14:N14)</f>
        <v>154</v>
      </c>
      <c r="P14" s="8">
        <f t="shared" si="0"/>
        <v>8</v>
      </c>
      <c r="Q14" s="8">
        <f t="shared" si="0"/>
        <v>4</v>
      </c>
      <c r="R14" s="8">
        <f t="shared" si="0"/>
        <v>7</v>
      </c>
      <c r="S14" s="8">
        <f t="shared" si="0"/>
        <v>7</v>
      </c>
      <c r="T14" s="8">
        <f t="shared" si="0"/>
        <v>8</v>
      </c>
      <c r="U14" s="8">
        <f t="shared" si="0"/>
        <v>18</v>
      </c>
      <c r="V14" s="8">
        <f t="shared" si="0"/>
        <v>23</v>
      </c>
      <c r="W14" s="8">
        <f t="shared" si="0"/>
        <v>16</v>
      </c>
      <c r="X14" s="8">
        <f t="shared" si="0"/>
        <v>34</v>
      </c>
      <c r="Y14" s="8">
        <f>SUM(P14:X14)</f>
        <v>125</v>
      </c>
      <c r="Z14" s="8">
        <f t="shared" si="0"/>
        <v>1138</v>
      </c>
      <c r="AA14" s="27"/>
    </row>
    <row r="15" spans="2:27" ht="24" customHeight="1" x14ac:dyDescent="0.25">
      <c r="B15" s="17"/>
      <c r="C15" s="17"/>
      <c r="D15" s="17"/>
      <c r="E15" s="17"/>
      <c r="F15" s="18" t="s">
        <v>96</v>
      </c>
      <c r="O15" s="57" t="s">
        <v>33</v>
      </c>
      <c r="P15" s="57"/>
      <c r="Q15" s="57"/>
      <c r="R15" s="57"/>
      <c r="S15" s="57"/>
      <c r="T15" s="57"/>
      <c r="U15" s="57"/>
      <c r="V15" s="57"/>
      <c r="W15" s="57"/>
      <c r="X15" s="5"/>
      <c r="Y15" s="19"/>
    </row>
    <row r="16" spans="2:27" ht="24" customHeight="1" x14ac:dyDescent="0.25">
      <c r="B16" s="17"/>
      <c r="C16" s="17"/>
      <c r="D16" s="17"/>
      <c r="E16" s="17"/>
      <c r="F16" s="18"/>
      <c r="O16" s="44"/>
      <c r="P16" s="44"/>
      <c r="Q16" s="44"/>
      <c r="R16" s="44"/>
      <c r="S16" s="44"/>
      <c r="T16" s="44"/>
      <c r="U16" s="44"/>
      <c r="V16" s="44"/>
      <c r="W16" s="44"/>
      <c r="X16" s="5"/>
      <c r="Y16" s="19"/>
    </row>
    <row r="17" spans="2:26" ht="24" customHeight="1" x14ac:dyDescent="0.25">
      <c r="B17" s="17"/>
      <c r="C17" s="17"/>
      <c r="D17" s="17"/>
      <c r="E17" s="17"/>
    </row>
    <row r="18" spans="2:26" ht="24" customHeight="1" x14ac:dyDescent="0.25">
      <c r="B18" s="17"/>
      <c r="C18" s="17"/>
      <c r="D18" s="17"/>
      <c r="E18" s="17"/>
    </row>
    <row r="19" spans="2:26" ht="24" customHeight="1" x14ac:dyDescent="0.25">
      <c r="B19" s="17"/>
      <c r="C19" s="17"/>
      <c r="D19" s="17"/>
      <c r="E19" s="17"/>
      <c r="F19" s="19" t="s">
        <v>94</v>
      </c>
    </row>
    <row r="20" spans="2:26" ht="24" customHeight="1" x14ac:dyDescent="0.3">
      <c r="B20" s="17"/>
      <c r="C20" s="17"/>
      <c r="D20" s="17"/>
      <c r="E20" s="17"/>
      <c r="F20" s="21"/>
      <c r="O20" s="45" t="s">
        <v>92</v>
      </c>
      <c r="P20" s="45"/>
      <c r="Q20" s="45"/>
      <c r="R20" s="45"/>
      <c r="S20" s="45"/>
      <c r="T20" s="45"/>
      <c r="U20" s="45"/>
      <c r="V20" s="45"/>
      <c r="W20" s="45"/>
    </row>
    <row r="21" spans="2:26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6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2:26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2:26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2:26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2:26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2:26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2:26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</sheetData>
  <sheetProtection algorithmName="SHA-512" hashValue="51lI0jK0+ExNIt8uUHw5BTR40chLE1PeWal96+zHlTKsH0wuVDAClROybSF7tAIE+/oHSGOsQWujuZK+riceBQ==" saltValue="lXgdyrR6r6NERbaz9vI9gQ==" spinCount="100000" sheet="1" objects="1" scenarios="1"/>
  <mergeCells count="23">
    <mergeCell ref="O15:W15"/>
    <mergeCell ref="B4:Z4"/>
    <mergeCell ref="B5:Z5"/>
    <mergeCell ref="B9:B11"/>
    <mergeCell ref="C9:C11"/>
    <mergeCell ref="D9:D11"/>
    <mergeCell ref="E9:E11"/>
    <mergeCell ref="G9:O9"/>
    <mergeCell ref="P9:Y9"/>
    <mergeCell ref="AA9:AA11"/>
    <mergeCell ref="F10:F11"/>
    <mergeCell ref="G10:N10"/>
    <mergeCell ref="O10:Y10"/>
    <mergeCell ref="Z10:Z11"/>
    <mergeCell ref="B26:X26"/>
    <mergeCell ref="B27:X27"/>
    <mergeCell ref="B28:Y28"/>
    <mergeCell ref="O16:W16"/>
    <mergeCell ref="O20:W20"/>
    <mergeCell ref="B22:Z22"/>
    <mergeCell ref="B23:Z23"/>
    <mergeCell ref="B24:Z24"/>
    <mergeCell ref="B25:Z25"/>
  </mergeCells>
  <pageMargins left="0.7" right="0.7" top="0.75" bottom="0.75" header="0.3" footer="0.3"/>
  <pageSetup paperSize="9" scale="4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FB33-7F2F-430D-A92B-036837713AAA}">
  <sheetPr codeName="Sheet3">
    <pageSetUpPr fitToPage="1"/>
  </sheetPr>
  <dimension ref="B1:BD28"/>
  <sheetViews>
    <sheetView topLeftCell="F4" zoomScale="66" zoomScaleNormal="66" workbookViewId="0">
      <selection activeCell="B4" sqref="B3:BC4"/>
    </sheetView>
  </sheetViews>
  <sheetFormatPr defaultColWidth="8.7109375" defaultRowHeight="16.5" x14ac:dyDescent="0.25"/>
  <cols>
    <col min="1" max="1" width="2.5703125" style="1" customWidth="1"/>
    <col min="2" max="2" width="5.140625" style="1" customWidth="1"/>
    <col min="3" max="3" width="7.7109375" style="1" customWidth="1"/>
    <col min="4" max="4" width="7.5703125" style="1" customWidth="1"/>
    <col min="5" max="5" width="7.140625" style="1" customWidth="1"/>
    <col min="6" max="6" width="8.140625" style="1" customWidth="1"/>
    <col min="7" max="7" width="8.5703125" style="3" customWidth="1"/>
    <col min="8" max="8" width="7.42578125" style="3" customWidth="1"/>
    <col min="9" max="9" width="7.7109375" style="3" customWidth="1"/>
    <col min="10" max="11" width="7.85546875" style="3" customWidth="1"/>
    <col min="12" max="15" width="7" style="3" bestFit="1" customWidth="1"/>
    <col min="16" max="16" width="7.7109375" style="3" customWidth="1"/>
    <col min="17" max="17" width="6.85546875" style="3" customWidth="1"/>
    <col min="18" max="18" width="7.7109375" style="3" bestFit="1" customWidth="1"/>
    <col min="19" max="25" width="7.7109375" style="3" customWidth="1"/>
    <col min="26" max="26" width="8.85546875" style="3" customWidth="1"/>
    <col min="27" max="34" width="7" style="3" bestFit="1" customWidth="1"/>
    <col min="35" max="40" width="7.7109375" style="3" bestFit="1" customWidth="1"/>
    <col min="41" max="46" width="7.7109375" style="1" bestFit="1" customWidth="1"/>
    <col min="47" max="53" width="7.7109375" style="1" customWidth="1"/>
    <col min="54" max="54" width="9.42578125" style="1" customWidth="1"/>
    <col min="55" max="55" width="10.7109375" style="1" customWidth="1"/>
    <col min="56" max="56" width="8.42578125" style="1" customWidth="1"/>
    <col min="57" max="285" width="8.7109375" style="1"/>
    <col min="286" max="286" width="3.7109375" style="1" customWidth="1"/>
    <col min="287" max="287" width="4.28515625" style="1" customWidth="1"/>
    <col min="288" max="288" width="11.28515625" style="1" customWidth="1"/>
    <col min="289" max="289" width="13.42578125" style="1" customWidth="1"/>
    <col min="290" max="292" width="5.42578125" style="1" customWidth="1"/>
    <col min="293" max="293" width="8.28515625" style="1" customWidth="1"/>
    <col min="294" max="296" width="4.7109375" style="1" customWidth="1"/>
    <col min="297" max="297" width="11.7109375" style="1" customWidth="1"/>
    <col min="298" max="299" width="7" style="1" customWidth="1"/>
    <col min="300" max="300" width="6.42578125" style="1" customWidth="1"/>
    <col min="301" max="301" width="15" style="1" customWidth="1"/>
    <col min="302" max="302" width="5.28515625" style="1" customWidth="1"/>
    <col min="303" max="305" width="4.7109375" style="1" customWidth="1"/>
    <col min="306" max="306" width="11.7109375" style="1" customWidth="1"/>
    <col min="307" max="307" width="10" style="1" customWidth="1"/>
    <col min="308" max="308" width="7.42578125" style="1" customWidth="1"/>
    <col min="309" max="309" width="7.140625" style="1" customWidth="1"/>
    <col min="310" max="310" width="6.42578125" style="1" customWidth="1"/>
    <col min="311" max="541" width="8.7109375" style="1"/>
    <col min="542" max="542" width="3.7109375" style="1" customWidth="1"/>
    <col min="543" max="543" width="4.28515625" style="1" customWidth="1"/>
    <col min="544" max="544" width="11.28515625" style="1" customWidth="1"/>
    <col min="545" max="545" width="13.42578125" style="1" customWidth="1"/>
    <col min="546" max="548" width="5.42578125" style="1" customWidth="1"/>
    <col min="549" max="549" width="8.28515625" style="1" customWidth="1"/>
    <col min="550" max="552" width="4.7109375" style="1" customWidth="1"/>
    <col min="553" max="553" width="11.7109375" style="1" customWidth="1"/>
    <col min="554" max="555" width="7" style="1" customWidth="1"/>
    <col min="556" max="556" width="6.42578125" style="1" customWidth="1"/>
    <col min="557" max="557" width="15" style="1" customWidth="1"/>
    <col min="558" max="558" width="5.28515625" style="1" customWidth="1"/>
    <col min="559" max="561" width="4.7109375" style="1" customWidth="1"/>
    <col min="562" max="562" width="11.7109375" style="1" customWidth="1"/>
    <col min="563" max="563" width="10" style="1" customWidth="1"/>
    <col min="564" max="564" width="7.42578125" style="1" customWidth="1"/>
    <col min="565" max="565" width="7.140625" style="1" customWidth="1"/>
    <col min="566" max="566" width="6.42578125" style="1" customWidth="1"/>
    <col min="567" max="797" width="8.7109375" style="1"/>
    <col min="798" max="798" width="3.7109375" style="1" customWidth="1"/>
    <col min="799" max="799" width="4.28515625" style="1" customWidth="1"/>
    <col min="800" max="800" width="11.28515625" style="1" customWidth="1"/>
    <col min="801" max="801" width="13.42578125" style="1" customWidth="1"/>
    <col min="802" max="804" width="5.42578125" style="1" customWidth="1"/>
    <col min="805" max="805" width="8.28515625" style="1" customWidth="1"/>
    <col min="806" max="808" width="4.7109375" style="1" customWidth="1"/>
    <col min="809" max="809" width="11.7109375" style="1" customWidth="1"/>
    <col min="810" max="811" width="7" style="1" customWidth="1"/>
    <col min="812" max="812" width="6.42578125" style="1" customWidth="1"/>
    <col min="813" max="813" width="15" style="1" customWidth="1"/>
    <col min="814" max="814" width="5.28515625" style="1" customWidth="1"/>
    <col min="815" max="817" width="4.7109375" style="1" customWidth="1"/>
    <col min="818" max="818" width="11.7109375" style="1" customWidth="1"/>
    <col min="819" max="819" width="10" style="1" customWidth="1"/>
    <col min="820" max="820" width="7.42578125" style="1" customWidth="1"/>
    <col min="821" max="821" width="7.140625" style="1" customWidth="1"/>
    <col min="822" max="822" width="6.42578125" style="1" customWidth="1"/>
    <col min="823" max="1053" width="8.7109375" style="1"/>
    <col min="1054" max="1054" width="3.7109375" style="1" customWidth="1"/>
    <col min="1055" max="1055" width="4.28515625" style="1" customWidth="1"/>
    <col min="1056" max="1056" width="11.28515625" style="1" customWidth="1"/>
    <col min="1057" max="1057" width="13.42578125" style="1" customWidth="1"/>
    <col min="1058" max="1060" width="5.42578125" style="1" customWidth="1"/>
    <col min="1061" max="1061" width="8.28515625" style="1" customWidth="1"/>
    <col min="1062" max="1064" width="4.7109375" style="1" customWidth="1"/>
    <col min="1065" max="1065" width="11.7109375" style="1" customWidth="1"/>
    <col min="1066" max="1067" width="7" style="1" customWidth="1"/>
    <col min="1068" max="1068" width="6.42578125" style="1" customWidth="1"/>
    <col min="1069" max="1069" width="15" style="1" customWidth="1"/>
    <col min="1070" max="1070" width="5.28515625" style="1" customWidth="1"/>
    <col min="1071" max="1073" width="4.7109375" style="1" customWidth="1"/>
    <col min="1074" max="1074" width="11.7109375" style="1" customWidth="1"/>
    <col min="1075" max="1075" width="10" style="1" customWidth="1"/>
    <col min="1076" max="1076" width="7.42578125" style="1" customWidth="1"/>
    <col min="1077" max="1077" width="7.140625" style="1" customWidth="1"/>
    <col min="1078" max="1078" width="6.42578125" style="1" customWidth="1"/>
    <col min="1079" max="1309" width="8.7109375" style="1"/>
    <col min="1310" max="1310" width="3.7109375" style="1" customWidth="1"/>
    <col min="1311" max="1311" width="4.28515625" style="1" customWidth="1"/>
    <col min="1312" max="1312" width="11.28515625" style="1" customWidth="1"/>
    <col min="1313" max="1313" width="13.42578125" style="1" customWidth="1"/>
    <col min="1314" max="1316" width="5.42578125" style="1" customWidth="1"/>
    <col min="1317" max="1317" width="8.28515625" style="1" customWidth="1"/>
    <col min="1318" max="1320" width="4.7109375" style="1" customWidth="1"/>
    <col min="1321" max="1321" width="11.7109375" style="1" customWidth="1"/>
    <col min="1322" max="1323" width="7" style="1" customWidth="1"/>
    <col min="1324" max="1324" width="6.42578125" style="1" customWidth="1"/>
    <col min="1325" max="1325" width="15" style="1" customWidth="1"/>
    <col min="1326" max="1326" width="5.28515625" style="1" customWidth="1"/>
    <col min="1327" max="1329" width="4.7109375" style="1" customWidth="1"/>
    <col min="1330" max="1330" width="11.7109375" style="1" customWidth="1"/>
    <col min="1331" max="1331" width="10" style="1" customWidth="1"/>
    <col min="1332" max="1332" width="7.42578125" style="1" customWidth="1"/>
    <col min="1333" max="1333" width="7.140625" style="1" customWidth="1"/>
    <col min="1334" max="1334" width="6.42578125" style="1" customWidth="1"/>
    <col min="1335" max="1565" width="8.7109375" style="1"/>
    <col min="1566" max="1566" width="3.7109375" style="1" customWidth="1"/>
    <col min="1567" max="1567" width="4.28515625" style="1" customWidth="1"/>
    <col min="1568" max="1568" width="11.28515625" style="1" customWidth="1"/>
    <col min="1569" max="1569" width="13.42578125" style="1" customWidth="1"/>
    <col min="1570" max="1572" width="5.42578125" style="1" customWidth="1"/>
    <col min="1573" max="1573" width="8.28515625" style="1" customWidth="1"/>
    <col min="1574" max="1576" width="4.7109375" style="1" customWidth="1"/>
    <col min="1577" max="1577" width="11.7109375" style="1" customWidth="1"/>
    <col min="1578" max="1579" width="7" style="1" customWidth="1"/>
    <col min="1580" max="1580" width="6.42578125" style="1" customWidth="1"/>
    <col min="1581" max="1581" width="15" style="1" customWidth="1"/>
    <col min="1582" max="1582" width="5.28515625" style="1" customWidth="1"/>
    <col min="1583" max="1585" width="4.7109375" style="1" customWidth="1"/>
    <col min="1586" max="1586" width="11.7109375" style="1" customWidth="1"/>
    <col min="1587" max="1587" width="10" style="1" customWidth="1"/>
    <col min="1588" max="1588" width="7.42578125" style="1" customWidth="1"/>
    <col min="1589" max="1589" width="7.140625" style="1" customWidth="1"/>
    <col min="1590" max="1590" width="6.42578125" style="1" customWidth="1"/>
    <col min="1591" max="1821" width="8.7109375" style="1"/>
    <col min="1822" max="1822" width="3.7109375" style="1" customWidth="1"/>
    <col min="1823" max="1823" width="4.28515625" style="1" customWidth="1"/>
    <col min="1824" max="1824" width="11.28515625" style="1" customWidth="1"/>
    <col min="1825" max="1825" width="13.42578125" style="1" customWidth="1"/>
    <col min="1826" max="1828" width="5.42578125" style="1" customWidth="1"/>
    <col min="1829" max="1829" width="8.28515625" style="1" customWidth="1"/>
    <col min="1830" max="1832" width="4.7109375" style="1" customWidth="1"/>
    <col min="1833" max="1833" width="11.7109375" style="1" customWidth="1"/>
    <col min="1834" max="1835" width="7" style="1" customWidth="1"/>
    <col min="1836" max="1836" width="6.42578125" style="1" customWidth="1"/>
    <col min="1837" max="1837" width="15" style="1" customWidth="1"/>
    <col min="1838" max="1838" width="5.28515625" style="1" customWidth="1"/>
    <col min="1839" max="1841" width="4.7109375" style="1" customWidth="1"/>
    <col min="1842" max="1842" width="11.7109375" style="1" customWidth="1"/>
    <col min="1843" max="1843" width="10" style="1" customWidth="1"/>
    <col min="1844" max="1844" width="7.42578125" style="1" customWidth="1"/>
    <col min="1845" max="1845" width="7.140625" style="1" customWidth="1"/>
    <col min="1846" max="1846" width="6.42578125" style="1" customWidth="1"/>
    <col min="1847" max="2077" width="8.7109375" style="1"/>
    <col min="2078" max="2078" width="3.7109375" style="1" customWidth="1"/>
    <col min="2079" max="2079" width="4.28515625" style="1" customWidth="1"/>
    <col min="2080" max="2080" width="11.28515625" style="1" customWidth="1"/>
    <col min="2081" max="2081" width="13.42578125" style="1" customWidth="1"/>
    <col min="2082" max="2084" width="5.42578125" style="1" customWidth="1"/>
    <col min="2085" max="2085" width="8.28515625" style="1" customWidth="1"/>
    <col min="2086" max="2088" width="4.7109375" style="1" customWidth="1"/>
    <col min="2089" max="2089" width="11.7109375" style="1" customWidth="1"/>
    <col min="2090" max="2091" width="7" style="1" customWidth="1"/>
    <col min="2092" max="2092" width="6.42578125" style="1" customWidth="1"/>
    <col min="2093" max="2093" width="15" style="1" customWidth="1"/>
    <col min="2094" max="2094" width="5.28515625" style="1" customWidth="1"/>
    <col min="2095" max="2097" width="4.7109375" style="1" customWidth="1"/>
    <col min="2098" max="2098" width="11.7109375" style="1" customWidth="1"/>
    <col min="2099" max="2099" width="10" style="1" customWidth="1"/>
    <col min="2100" max="2100" width="7.42578125" style="1" customWidth="1"/>
    <col min="2101" max="2101" width="7.140625" style="1" customWidth="1"/>
    <col min="2102" max="2102" width="6.42578125" style="1" customWidth="1"/>
    <col min="2103" max="2333" width="8.7109375" style="1"/>
    <col min="2334" max="2334" width="3.7109375" style="1" customWidth="1"/>
    <col min="2335" max="2335" width="4.28515625" style="1" customWidth="1"/>
    <col min="2336" max="2336" width="11.28515625" style="1" customWidth="1"/>
    <col min="2337" max="2337" width="13.42578125" style="1" customWidth="1"/>
    <col min="2338" max="2340" width="5.42578125" style="1" customWidth="1"/>
    <col min="2341" max="2341" width="8.28515625" style="1" customWidth="1"/>
    <col min="2342" max="2344" width="4.7109375" style="1" customWidth="1"/>
    <col min="2345" max="2345" width="11.7109375" style="1" customWidth="1"/>
    <col min="2346" max="2347" width="7" style="1" customWidth="1"/>
    <col min="2348" max="2348" width="6.42578125" style="1" customWidth="1"/>
    <col min="2349" max="2349" width="15" style="1" customWidth="1"/>
    <col min="2350" max="2350" width="5.28515625" style="1" customWidth="1"/>
    <col min="2351" max="2353" width="4.7109375" style="1" customWidth="1"/>
    <col min="2354" max="2354" width="11.7109375" style="1" customWidth="1"/>
    <col min="2355" max="2355" width="10" style="1" customWidth="1"/>
    <col min="2356" max="2356" width="7.42578125" style="1" customWidth="1"/>
    <col min="2357" max="2357" width="7.140625" style="1" customWidth="1"/>
    <col min="2358" max="2358" width="6.42578125" style="1" customWidth="1"/>
    <col min="2359" max="2589" width="8.7109375" style="1"/>
    <col min="2590" max="2590" width="3.7109375" style="1" customWidth="1"/>
    <col min="2591" max="2591" width="4.28515625" style="1" customWidth="1"/>
    <col min="2592" max="2592" width="11.28515625" style="1" customWidth="1"/>
    <col min="2593" max="2593" width="13.42578125" style="1" customWidth="1"/>
    <col min="2594" max="2596" width="5.42578125" style="1" customWidth="1"/>
    <col min="2597" max="2597" width="8.28515625" style="1" customWidth="1"/>
    <col min="2598" max="2600" width="4.7109375" style="1" customWidth="1"/>
    <col min="2601" max="2601" width="11.7109375" style="1" customWidth="1"/>
    <col min="2602" max="2603" width="7" style="1" customWidth="1"/>
    <col min="2604" max="2604" width="6.42578125" style="1" customWidth="1"/>
    <col min="2605" max="2605" width="15" style="1" customWidth="1"/>
    <col min="2606" max="2606" width="5.28515625" style="1" customWidth="1"/>
    <col min="2607" max="2609" width="4.7109375" style="1" customWidth="1"/>
    <col min="2610" max="2610" width="11.7109375" style="1" customWidth="1"/>
    <col min="2611" max="2611" width="10" style="1" customWidth="1"/>
    <col min="2612" max="2612" width="7.42578125" style="1" customWidth="1"/>
    <col min="2613" max="2613" width="7.140625" style="1" customWidth="1"/>
    <col min="2614" max="2614" width="6.42578125" style="1" customWidth="1"/>
    <col min="2615" max="2845" width="8.7109375" style="1"/>
    <col min="2846" max="2846" width="3.7109375" style="1" customWidth="1"/>
    <col min="2847" max="2847" width="4.28515625" style="1" customWidth="1"/>
    <col min="2848" max="2848" width="11.28515625" style="1" customWidth="1"/>
    <col min="2849" max="2849" width="13.42578125" style="1" customWidth="1"/>
    <col min="2850" max="2852" width="5.42578125" style="1" customWidth="1"/>
    <col min="2853" max="2853" width="8.28515625" style="1" customWidth="1"/>
    <col min="2854" max="2856" width="4.7109375" style="1" customWidth="1"/>
    <col min="2857" max="2857" width="11.7109375" style="1" customWidth="1"/>
    <col min="2858" max="2859" width="7" style="1" customWidth="1"/>
    <col min="2860" max="2860" width="6.42578125" style="1" customWidth="1"/>
    <col min="2861" max="2861" width="15" style="1" customWidth="1"/>
    <col min="2862" max="2862" width="5.28515625" style="1" customWidth="1"/>
    <col min="2863" max="2865" width="4.7109375" style="1" customWidth="1"/>
    <col min="2866" max="2866" width="11.7109375" style="1" customWidth="1"/>
    <col min="2867" max="2867" width="10" style="1" customWidth="1"/>
    <col min="2868" max="2868" width="7.42578125" style="1" customWidth="1"/>
    <col min="2869" max="2869" width="7.140625" style="1" customWidth="1"/>
    <col min="2870" max="2870" width="6.42578125" style="1" customWidth="1"/>
    <col min="2871" max="3101" width="8.7109375" style="1"/>
    <col min="3102" max="3102" width="3.7109375" style="1" customWidth="1"/>
    <col min="3103" max="3103" width="4.28515625" style="1" customWidth="1"/>
    <col min="3104" max="3104" width="11.28515625" style="1" customWidth="1"/>
    <col min="3105" max="3105" width="13.42578125" style="1" customWidth="1"/>
    <col min="3106" max="3108" width="5.42578125" style="1" customWidth="1"/>
    <col min="3109" max="3109" width="8.28515625" style="1" customWidth="1"/>
    <col min="3110" max="3112" width="4.7109375" style="1" customWidth="1"/>
    <col min="3113" max="3113" width="11.7109375" style="1" customWidth="1"/>
    <col min="3114" max="3115" width="7" style="1" customWidth="1"/>
    <col min="3116" max="3116" width="6.42578125" style="1" customWidth="1"/>
    <col min="3117" max="3117" width="15" style="1" customWidth="1"/>
    <col min="3118" max="3118" width="5.28515625" style="1" customWidth="1"/>
    <col min="3119" max="3121" width="4.7109375" style="1" customWidth="1"/>
    <col min="3122" max="3122" width="11.7109375" style="1" customWidth="1"/>
    <col min="3123" max="3123" width="10" style="1" customWidth="1"/>
    <col min="3124" max="3124" width="7.42578125" style="1" customWidth="1"/>
    <col min="3125" max="3125" width="7.140625" style="1" customWidth="1"/>
    <col min="3126" max="3126" width="6.42578125" style="1" customWidth="1"/>
    <col min="3127" max="3357" width="8.7109375" style="1"/>
    <col min="3358" max="3358" width="3.7109375" style="1" customWidth="1"/>
    <col min="3359" max="3359" width="4.28515625" style="1" customWidth="1"/>
    <col min="3360" max="3360" width="11.28515625" style="1" customWidth="1"/>
    <col min="3361" max="3361" width="13.42578125" style="1" customWidth="1"/>
    <col min="3362" max="3364" width="5.42578125" style="1" customWidth="1"/>
    <col min="3365" max="3365" width="8.28515625" style="1" customWidth="1"/>
    <col min="3366" max="3368" width="4.7109375" style="1" customWidth="1"/>
    <col min="3369" max="3369" width="11.7109375" style="1" customWidth="1"/>
    <col min="3370" max="3371" width="7" style="1" customWidth="1"/>
    <col min="3372" max="3372" width="6.42578125" style="1" customWidth="1"/>
    <col min="3373" max="3373" width="15" style="1" customWidth="1"/>
    <col min="3374" max="3374" width="5.28515625" style="1" customWidth="1"/>
    <col min="3375" max="3377" width="4.7109375" style="1" customWidth="1"/>
    <col min="3378" max="3378" width="11.7109375" style="1" customWidth="1"/>
    <col min="3379" max="3379" width="10" style="1" customWidth="1"/>
    <col min="3380" max="3380" width="7.42578125" style="1" customWidth="1"/>
    <col min="3381" max="3381" width="7.140625" style="1" customWidth="1"/>
    <col min="3382" max="3382" width="6.42578125" style="1" customWidth="1"/>
    <col min="3383" max="3613" width="8.7109375" style="1"/>
    <col min="3614" max="3614" width="3.7109375" style="1" customWidth="1"/>
    <col min="3615" max="3615" width="4.28515625" style="1" customWidth="1"/>
    <col min="3616" max="3616" width="11.28515625" style="1" customWidth="1"/>
    <col min="3617" max="3617" width="13.42578125" style="1" customWidth="1"/>
    <col min="3618" max="3620" width="5.42578125" style="1" customWidth="1"/>
    <col min="3621" max="3621" width="8.28515625" style="1" customWidth="1"/>
    <col min="3622" max="3624" width="4.7109375" style="1" customWidth="1"/>
    <col min="3625" max="3625" width="11.7109375" style="1" customWidth="1"/>
    <col min="3626" max="3627" width="7" style="1" customWidth="1"/>
    <col min="3628" max="3628" width="6.42578125" style="1" customWidth="1"/>
    <col min="3629" max="3629" width="15" style="1" customWidth="1"/>
    <col min="3630" max="3630" width="5.28515625" style="1" customWidth="1"/>
    <col min="3631" max="3633" width="4.7109375" style="1" customWidth="1"/>
    <col min="3634" max="3634" width="11.7109375" style="1" customWidth="1"/>
    <col min="3635" max="3635" width="10" style="1" customWidth="1"/>
    <col min="3636" max="3636" width="7.42578125" style="1" customWidth="1"/>
    <col min="3637" max="3637" width="7.140625" style="1" customWidth="1"/>
    <col min="3638" max="3638" width="6.42578125" style="1" customWidth="1"/>
    <col min="3639" max="3869" width="8.7109375" style="1"/>
    <col min="3870" max="3870" width="3.7109375" style="1" customWidth="1"/>
    <col min="3871" max="3871" width="4.28515625" style="1" customWidth="1"/>
    <col min="3872" max="3872" width="11.28515625" style="1" customWidth="1"/>
    <col min="3873" max="3873" width="13.42578125" style="1" customWidth="1"/>
    <col min="3874" max="3876" width="5.42578125" style="1" customWidth="1"/>
    <col min="3877" max="3877" width="8.28515625" style="1" customWidth="1"/>
    <col min="3878" max="3880" width="4.7109375" style="1" customWidth="1"/>
    <col min="3881" max="3881" width="11.7109375" style="1" customWidth="1"/>
    <col min="3882" max="3883" width="7" style="1" customWidth="1"/>
    <col min="3884" max="3884" width="6.42578125" style="1" customWidth="1"/>
    <col min="3885" max="3885" width="15" style="1" customWidth="1"/>
    <col min="3886" max="3886" width="5.28515625" style="1" customWidth="1"/>
    <col min="3887" max="3889" width="4.7109375" style="1" customWidth="1"/>
    <col min="3890" max="3890" width="11.7109375" style="1" customWidth="1"/>
    <col min="3891" max="3891" width="10" style="1" customWidth="1"/>
    <col min="3892" max="3892" width="7.42578125" style="1" customWidth="1"/>
    <col min="3893" max="3893" width="7.140625" style="1" customWidth="1"/>
    <col min="3894" max="3894" width="6.42578125" style="1" customWidth="1"/>
    <col min="3895" max="4125" width="8.7109375" style="1"/>
    <col min="4126" max="4126" width="3.7109375" style="1" customWidth="1"/>
    <col min="4127" max="4127" width="4.28515625" style="1" customWidth="1"/>
    <col min="4128" max="4128" width="11.28515625" style="1" customWidth="1"/>
    <col min="4129" max="4129" width="13.42578125" style="1" customWidth="1"/>
    <col min="4130" max="4132" width="5.42578125" style="1" customWidth="1"/>
    <col min="4133" max="4133" width="8.28515625" style="1" customWidth="1"/>
    <col min="4134" max="4136" width="4.7109375" style="1" customWidth="1"/>
    <col min="4137" max="4137" width="11.7109375" style="1" customWidth="1"/>
    <col min="4138" max="4139" width="7" style="1" customWidth="1"/>
    <col min="4140" max="4140" width="6.42578125" style="1" customWidth="1"/>
    <col min="4141" max="4141" width="15" style="1" customWidth="1"/>
    <col min="4142" max="4142" width="5.28515625" style="1" customWidth="1"/>
    <col min="4143" max="4145" width="4.7109375" style="1" customWidth="1"/>
    <col min="4146" max="4146" width="11.7109375" style="1" customWidth="1"/>
    <col min="4147" max="4147" width="10" style="1" customWidth="1"/>
    <col min="4148" max="4148" width="7.42578125" style="1" customWidth="1"/>
    <col min="4149" max="4149" width="7.140625" style="1" customWidth="1"/>
    <col min="4150" max="4150" width="6.42578125" style="1" customWidth="1"/>
    <col min="4151" max="4381" width="8.7109375" style="1"/>
    <col min="4382" max="4382" width="3.7109375" style="1" customWidth="1"/>
    <col min="4383" max="4383" width="4.28515625" style="1" customWidth="1"/>
    <col min="4384" max="4384" width="11.28515625" style="1" customWidth="1"/>
    <col min="4385" max="4385" width="13.42578125" style="1" customWidth="1"/>
    <col min="4386" max="4388" width="5.42578125" style="1" customWidth="1"/>
    <col min="4389" max="4389" width="8.28515625" style="1" customWidth="1"/>
    <col min="4390" max="4392" width="4.7109375" style="1" customWidth="1"/>
    <col min="4393" max="4393" width="11.7109375" style="1" customWidth="1"/>
    <col min="4394" max="4395" width="7" style="1" customWidth="1"/>
    <col min="4396" max="4396" width="6.42578125" style="1" customWidth="1"/>
    <col min="4397" max="4397" width="15" style="1" customWidth="1"/>
    <col min="4398" max="4398" width="5.28515625" style="1" customWidth="1"/>
    <col min="4399" max="4401" width="4.7109375" style="1" customWidth="1"/>
    <col min="4402" max="4402" width="11.7109375" style="1" customWidth="1"/>
    <col min="4403" max="4403" width="10" style="1" customWidth="1"/>
    <col min="4404" max="4404" width="7.42578125" style="1" customWidth="1"/>
    <col min="4405" max="4405" width="7.140625" style="1" customWidth="1"/>
    <col min="4406" max="4406" width="6.42578125" style="1" customWidth="1"/>
    <col min="4407" max="4637" width="8.7109375" style="1"/>
    <col min="4638" max="4638" width="3.7109375" style="1" customWidth="1"/>
    <col min="4639" max="4639" width="4.28515625" style="1" customWidth="1"/>
    <col min="4640" max="4640" width="11.28515625" style="1" customWidth="1"/>
    <col min="4641" max="4641" width="13.42578125" style="1" customWidth="1"/>
    <col min="4642" max="4644" width="5.42578125" style="1" customWidth="1"/>
    <col min="4645" max="4645" width="8.28515625" style="1" customWidth="1"/>
    <col min="4646" max="4648" width="4.7109375" style="1" customWidth="1"/>
    <col min="4649" max="4649" width="11.7109375" style="1" customWidth="1"/>
    <col min="4650" max="4651" width="7" style="1" customWidth="1"/>
    <col min="4652" max="4652" width="6.42578125" style="1" customWidth="1"/>
    <col min="4653" max="4653" width="15" style="1" customWidth="1"/>
    <col min="4654" max="4654" width="5.28515625" style="1" customWidth="1"/>
    <col min="4655" max="4657" width="4.7109375" style="1" customWidth="1"/>
    <col min="4658" max="4658" width="11.7109375" style="1" customWidth="1"/>
    <col min="4659" max="4659" width="10" style="1" customWidth="1"/>
    <col min="4660" max="4660" width="7.42578125" style="1" customWidth="1"/>
    <col min="4661" max="4661" width="7.140625" style="1" customWidth="1"/>
    <col min="4662" max="4662" width="6.42578125" style="1" customWidth="1"/>
    <col min="4663" max="4893" width="8.7109375" style="1"/>
    <col min="4894" max="4894" width="3.7109375" style="1" customWidth="1"/>
    <col min="4895" max="4895" width="4.28515625" style="1" customWidth="1"/>
    <col min="4896" max="4896" width="11.28515625" style="1" customWidth="1"/>
    <col min="4897" max="4897" width="13.42578125" style="1" customWidth="1"/>
    <col min="4898" max="4900" width="5.42578125" style="1" customWidth="1"/>
    <col min="4901" max="4901" width="8.28515625" style="1" customWidth="1"/>
    <col min="4902" max="4904" width="4.7109375" style="1" customWidth="1"/>
    <col min="4905" max="4905" width="11.7109375" style="1" customWidth="1"/>
    <col min="4906" max="4907" width="7" style="1" customWidth="1"/>
    <col min="4908" max="4908" width="6.42578125" style="1" customWidth="1"/>
    <col min="4909" max="4909" width="15" style="1" customWidth="1"/>
    <col min="4910" max="4910" width="5.28515625" style="1" customWidth="1"/>
    <col min="4911" max="4913" width="4.7109375" style="1" customWidth="1"/>
    <col min="4914" max="4914" width="11.7109375" style="1" customWidth="1"/>
    <col min="4915" max="4915" width="10" style="1" customWidth="1"/>
    <col min="4916" max="4916" width="7.42578125" style="1" customWidth="1"/>
    <col min="4917" max="4917" width="7.140625" style="1" customWidth="1"/>
    <col min="4918" max="4918" width="6.42578125" style="1" customWidth="1"/>
    <col min="4919" max="5149" width="8.7109375" style="1"/>
    <col min="5150" max="5150" width="3.7109375" style="1" customWidth="1"/>
    <col min="5151" max="5151" width="4.28515625" style="1" customWidth="1"/>
    <col min="5152" max="5152" width="11.28515625" style="1" customWidth="1"/>
    <col min="5153" max="5153" width="13.42578125" style="1" customWidth="1"/>
    <col min="5154" max="5156" width="5.42578125" style="1" customWidth="1"/>
    <col min="5157" max="5157" width="8.28515625" style="1" customWidth="1"/>
    <col min="5158" max="5160" width="4.7109375" style="1" customWidth="1"/>
    <col min="5161" max="5161" width="11.7109375" style="1" customWidth="1"/>
    <col min="5162" max="5163" width="7" style="1" customWidth="1"/>
    <col min="5164" max="5164" width="6.42578125" style="1" customWidth="1"/>
    <col min="5165" max="5165" width="15" style="1" customWidth="1"/>
    <col min="5166" max="5166" width="5.28515625" style="1" customWidth="1"/>
    <col min="5167" max="5169" width="4.7109375" style="1" customWidth="1"/>
    <col min="5170" max="5170" width="11.7109375" style="1" customWidth="1"/>
    <col min="5171" max="5171" width="10" style="1" customWidth="1"/>
    <col min="5172" max="5172" width="7.42578125" style="1" customWidth="1"/>
    <col min="5173" max="5173" width="7.140625" style="1" customWidth="1"/>
    <col min="5174" max="5174" width="6.42578125" style="1" customWidth="1"/>
    <col min="5175" max="5405" width="8.7109375" style="1"/>
    <col min="5406" max="5406" width="3.7109375" style="1" customWidth="1"/>
    <col min="5407" max="5407" width="4.28515625" style="1" customWidth="1"/>
    <col min="5408" max="5408" width="11.28515625" style="1" customWidth="1"/>
    <col min="5409" max="5409" width="13.42578125" style="1" customWidth="1"/>
    <col min="5410" max="5412" width="5.42578125" style="1" customWidth="1"/>
    <col min="5413" max="5413" width="8.28515625" style="1" customWidth="1"/>
    <col min="5414" max="5416" width="4.7109375" style="1" customWidth="1"/>
    <col min="5417" max="5417" width="11.7109375" style="1" customWidth="1"/>
    <col min="5418" max="5419" width="7" style="1" customWidth="1"/>
    <col min="5420" max="5420" width="6.42578125" style="1" customWidth="1"/>
    <col min="5421" max="5421" width="15" style="1" customWidth="1"/>
    <col min="5422" max="5422" width="5.28515625" style="1" customWidth="1"/>
    <col min="5423" max="5425" width="4.7109375" style="1" customWidth="1"/>
    <col min="5426" max="5426" width="11.7109375" style="1" customWidth="1"/>
    <col min="5427" max="5427" width="10" style="1" customWidth="1"/>
    <col min="5428" max="5428" width="7.42578125" style="1" customWidth="1"/>
    <col min="5429" max="5429" width="7.140625" style="1" customWidth="1"/>
    <col min="5430" max="5430" width="6.42578125" style="1" customWidth="1"/>
    <col min="5431" max="5661" width="8.7109375" style="1"/>
    <col min="5662" max="5662" width="3.7109375" style="1" customWidth="1"/>
    <col min="5663" max="5663" width="4.28515625" style="1" customWidth="1"/>
    <col min="5664" max="5664" width="11.28515625" style="1" customWidth="1"/>
    <col min="5665" max="5665" width="13.42578125" style="1" customWidth="1"/>
    <col min="5666" max="5668" width="5.42578125" style="1" customWidth="1"/>
    <col min="5669" max="5669" width="8.28515625" style="1" customWidth="1"/>
    <col min="5670" max="5672" width="4.7109375" style="1" customWidth="1"/>
    <col min="5673" max="5673" width="11.7109375" style="1" customWidth="1"/>
    <col min="5674" max="5675" width="7" style="1" customWidth="1"/>
    <col min="5676" max="5676" width="6.42578125" style="1" customWidth="1"/>
    <col min="5677" max="5677" width="15" style="1" customWidth="1"/>
    <col min="5678" max="5678" width="5.28515625" style="1" customWidth="1"/>
    <col min="5679" max="5681" width="4.7109375" style="1" customWidth="1"/>
    <col min="5682" max="5682" width="11.7109375" style="1" customWidth="1"/>
    <col min="5683" max="5683" width="10" style="1" customWidth="1"/>
    <col min="5684" max="5684" width="7.42578125" style="1" customWidth="1"/>
    <col min="5685" max="5685" width="7.140625" style="1" customWidth="1"/>
    <col min="5686" max="5686" width="6.42578125" style="1" customWidth="1"/>
    <col min="5687" max="5917" width="8.7109375" style="1"/>
    <col min="5918" max="5918" width="3.7109375" style="1" customWidth="1"/>
    <col min="5919" max="5919" width="4.28515625" style="1" customWidth="1"/>
    <col min="5920" max="5920" width="11.28515625" style="1" customWidth="1"/>
    <col min="5921" max="5921" width="13.42578125" style="1" customWidth="1"/>
    <col min="5922" max="5924" width="5.42578125" style="1" customWidth="1"/>
    <col min="5925" max="5925" width="8.28515625" style="1" customWidth="1"/>
    <col min="5926" max="5928" width="4.7109375" style="1" customWidth="1"/>
    <col min="5929" max="5929" width="11.7109375" style="1" customWidth="1"/>
    <col min="5930" max="5931" width="7" style="1" customWidth="1"/>
    <col min="5932" max="5932" width="6.42578125" style="1" customWidth="1"/>
    <col min="5933" max="5933" width="15" style="1" customWidth="1"/>
    <col min="5934" max="5934" width="5.28515625" style="1" customWidth="1"/>
    <col min="5935" max="5937" width="4.7109375" style="1" customWidth="1"/>
    <col min="5938" max="5938" width="11.7109375" style="1" customWidth="1"/>
    <col min="5939" max="5939" width="10" style="1" customWidth="1"/>
    <col min="5940" max="5940" width="7.42578125" style="1" customWidth="1"/>
    <col min="5941" max="5941" width="7.140625" style="1" customWidth="1"/>
    <col min="5942" max="5942" width="6.42578125" style="1" customWidth="1"/>
    <col min="5943" max="6173" width="8.7109375" style="1"/>
    <col min="6174" max="6174" width="3.7109375" style="1" customWidth="1"/>
    <col min="6175" max="6175" width="4.28515625" style="1" customWidth="1"/>
    <col min="6176" max="6176" width="11.28515625" style="1" customWidth="1"/>
    <col min="6177" max="6177" width="13.42578125" style="1" customWidth="1"/>
    <col min="6178" max="6180" width="5.42578125" style="1" customWidth="1"/>
    <col min="6181" max="6181" width="8.28515625" style="1" customWidth="1"/>
    <col min="6182" max="6184" width="4.7109375" style="1" customWidth="1"/>
    <col min="6185" max="6185" width="11.7109375" style="1" customWidth="1"/>
    <col min="6186" max="6187" width="7" style="1" customWidth="1"/>
    <col min="6188" max="6188" width="6.42578125" style="1" customWidth="1"/>
    <col min="6189" max="6189" width="15" style="1" customWidth="1"/>
    <col min="6190" max="6190" width="5.28515625" style="1" customWidth="1"/>
    <col min="6191" max="6193" width="4.7109375" style="1" customWidth="1"/>
    <col min="6194" max="6194" width="11.7109375" style="1" customWidth="1"/>
    <col min="6195" max="6195" width="10" style="1" customWidth="1"/>
    <col min="6196" max="6196" width="7.42578125" style="1" customWidth="1"/>
    <col min="6197" max="6197" width="7.140625" style="1" customWidth="1"/>
    <col min="6198" max="6198" width="6.42578125" style="1" customWidth="1"/>
    <col min="6199" max="6429" width="8.7109375" style="1"/>
    <col min="6430" max="6430" width="3.7109375" style="1" customWidth="1"/>
    <col min="6431" max="6431" width="4.28515625" style="1" customWidth="1"/>
    <col min="6432" max="6432" width="11.28515625" style="1" customWidth="1"/>
    <col min="6433" max="6433" width="13.42578125" style="1" customWidth="1"/>
    <col min="6434" max="6436" width="5.42578125" style="1" customWidth="1"/>
    <col min="6437" max="6437" width="8.28515625" style="1" customWidth="1"/>
    <col min="6438" max="6440" width="4.7109375" style="1" customWidth="1"/>
    <col min="6441" max="6441" width="11.7109375" style="1" customWidth="1"/>
    <col min="6442" max="6443" width="7" style="1" customWidth="1"/>
    <col min="6444" max="6444" width="6.42578125" style="1" customWidth="1"/>
    <col min="6445" max="6445" width="15" style="1" customWidth="1"/>
    <col min="6446" max="6446" width="5.28515625" style="1" customWidth="1"/>
    <col min="6447" max="6449" width="4.7109375" style="1" customWidth="1"/>
    <col min="6450" max="6450" width="11.7109375" style="1" customWidth="1"/>
    <col min="6451" max="6451" width="10" style="1" customWidth="1"/>
    <col min="6452" max="6452" width="7.42578125" style="1" customWidth="1"/>
    <col min="6453" max="6453" width="7.140625" style="1" customWidth="1"/>
    <col min="6454" max="6454" width="6.42578125" style="1" customWidth="1"/>
    <col min="6455" max="6685" width="8.7109375" style="1"/>
    <col min="6686" max="6686" width="3.7109375" style="1" customWidth="1"/>
    <col min="6687" max="6687" width="4.28515625" style="1" customWidth="1"/>
    <col min="6688" max="6688" width="11.28515625" style="1" customWidth="1"/>
    <col min="6689" max="6689" width="13.42578125" style="1" customWidth="1"/>
    <col min="6690" max="6692" width="5.42578125" style="1" customWidth="1"/>
    <col min="6693" max="6693" width="8.28515625" style="1" customWidth="1"/>
    <col min="6694" max="6696" width="4.7109375" style="1" customWidth="1"/>
    <col min="6697" max="6697" width="11.7109375" style="1" customWidth="1"/>
    <col min="6698" max="6699" width="7" style="1" customWidth="1"/>
    <col min="6700" max="6700" width="6.42578125" style="1" customWidth="1"/>
    <col min="6701" max="6701" width="15" style="1" customWidth="1"/>
    <col min="6702" max="6702" width="5.28515625" style="1" customWidth="1"/>
    <col min="6703" max="6705" width="4.7109375" style="1" customWidth="1"/>
    <col min="6706" max="6706" width="11.7109375" style="1" customWidth="1"/>
    <col min="6707" max="6707" width="10" style="1" customWidth="1"/>
    <col min="6708" max="6708" width="7.42578125" style="1" customWidth="1"/>
    <col min="6709" max="6709" width="7.140625" style="1" customWidth="1"/>
    <col min="6710" max="6710" width="6.42578125" style="1" customWidth="1"/>
    <col min="6711" max="6941" width="8.7109375" style="1"/>
    <col min="6942" max="6942" width="3.7109375" style="1" customWidth="1"/>
    <col min="6943" max="6943" width="4.28515625" style="1" customWidth="1"/>
    <col min="6944" max="6944" width="11.28515625" style="1" customWidth="1"/>
    <col min="6945" max="6945" width="13.42578125" style="1" customWidth="1"/>
    <col min="6946" max="6948" width="5.42578125" style="1" customWidth="1"/>
    <col min="6949" max="6949" width="8.28515625" style="1" customWidth="1"/>
    <col min="6950" max="6952" width="4.7109375" style="1" customWidth="1"/>
    <col min="6953" max="6953" width="11.7109375" style="1" customWidth="1"/>
    <col min="6954" max="6955" width="7" style="1" customWidth="1"/>
    <col min="6956" max="6956" width="6.42578125" style="1" customWidth="1"/>
    <col min="6957" max="6957" width="15" style="1" customWidth="1"/>
    <col min="6958" max="6958" width="5.28515625" style="1" customWidth="1"/>
    <col min="6959" max="6961" width="4.7109375" style="1" customWidth="1"/>
    <col min="6962" max="6962" width="11.7109375" style="1" customWidth="1"/>
    <col min="6963" max="6963" width="10" style="1" customWidth="1"/>
    <col min="6964" max="6964" width="7.42578125" style="1" customWidth="1"/>
    <col min="6965" max="6965" width="7.140625" style="1" customWidth="1"/>
    <col min="6966" max="6966" width="6.42578125" style="1" customWidth="1"/>
    <col min="6967" max="7197" width="8.7109375" style="1"/>
    <col min="7198" max="7198" width="3.7109375" style="1" customWidth="1"/>
    <col min="7199" max="7199" width="4.28515625" style="1" customWidth="1"/>
    <col min="7200" max="7200" width="11.28515625" style="1" customWidth="1"/>
    <col min="7201" max="7201" width="13.42578125" style="1" customWidth="1"/>
    <col min="7202" max="7204" width="5.42578125" style="1" customWidth="1"/>
    <col min="7205" max="7205" width="8.28515625" style="1" customWidth="1"/>
    <col min="7206" max="7208" width="4.7109375" style="1" customWidth="1"/>
    <col min="7209" max="7209" width="11.7109375" style="1" customWidth="1"/>
    <col min="7210" max="7211" width="7" style="1" customWidth="1"/>
    <col min="7212" max="7212" width="6.42578125" style="1" customWidth="1"/>
    <col min="7213" max="7213" width="15" style="1" customWidth="1"/>
    <col min="7214" max="7214" width="5.28515625" style="1" customWidth="1"/>
    <col min="7215" max="7217" width="4.7109375" style="1" customWidth="1"/>
    <col min="7218" max="7218" width="11.7109375" style="1" customWidth="1"/>
    <col min="7219" max="7219" width="10" style="1" customWidth="1"/>
    <col min="7220" max="7220" width="7.42578125" style="1" customWidth="1"/>
    <col min="7221" max="7221" width="7.140625" style="1" customWidth="1"/>
    <col min="7222" max="7222" width="6.42578125" style="1" customWidth="1"/>
    <col min="7223" max="7453" width="8.7109375" style="1"/>
    <col min="7454" max="7454" width="3.7109375" style="1" customWidth="1"/>
    <col min="7455" max="7455" width="4.28515625" style="1" customWidth="1"/>
    <col min="7456" max="7456" width="11.28515625" style="1" customWidth="1"/>
    <col min="7457" max="7457" width="13.42578125" style="1" customWidth="1"/>
    <col min="7458" max="7460" width="5.42578125" style="1" customWidth="1"/>
    <col min="7461" max="7461" width="8.28515625" style="1" customWidth="1"/>
    <col min="7462" max="7464" width="4.7109375" style="1" customWidth="1"/>
    <col min="7465" max="7465" width="11.7109375" style="1" customWidth="1"/>
    <col min="7466" max="7467" width="7" style="1" customWidth="1"/>
    <col min="7468" max="7468" width="6.42578125" style="1" customWidth="1"/>
    <col min="7469" max="7469" width="15" style="1" customWidth="1"/>
    <col min="7470" max="7470" width="5.28515625" style="1" customWidth="1"/>
    <col min="7471" max="7473" width="4.7109375" style="1" customWidth="1"/>
    <col min="7474" max="7474" width="11.7109375" style="1" customWidth="1"/>
    <col min="7475" max="7475" width="10" style="1" customWidth="1"/>
    <col min="7476" max="7476" width="7.42578125" style="1" customWidth="1"/>
    <col min="7477" max="7477" width="7.140625" style="1" customWidth="1"/>
    <col min="7478" max="7478" width="6.42578125" style="1" customWidth="1"/>
    <col min="7479" max="7709" width="8.7109375" style="1"/>
    <col min="7710" max="7710" width="3.7109375" style="1" customWidth="1"/>
    <col min="7711" max="7711" width="4.28515625" style="1" customWidth="1"/>
    <col min="7712" max="7712" width="11.28515625" style="1" customWidth="1"/>
    <col min="7713" max="7713" width="13.42578125" style="1" customWidth="1"/>
    <col min="7714" max="7716" width="5.42578125" style="1" customWidth="1"/>
    <col min="7717" max="7717" width="8.28515625" style="1" customWidth="1"/>
    <col min="7718" max="7720" width="4.7109375" style="1" customWidth="1"/>
    <col min="7721" max="7721" width="11.7109375" style="1" customWidth="1"/>
    <col min="7722" max="7723" width="7" style="1" customWidth="1"/>
    <col min="7724" max="7724" width="6.42578125" style="1" customWidth="1"/>
    <col min="7725" max="7725" width="15" style="1" customWidth="1"/>
    <col min="7726" max="7726" width="5.28515625" style="1" customWidth="1"/>
    <col min="7727" max="7729" width="4.7109375" style="1" customWidth="1"/>
    <col min="7730" max="7730" width="11.7109375" style="1" customWidth="1"/>
    <col min="7731" max="7731" width="10" style="1" customWidth="1"/>
    <col min="7732" max="7732" width="7.42578125" style="1" customWidth="1"/>
    <col min="7733" max="7733" width="7.140625" style="1" customWidth="1"/>
    <col min="7734" max="7734" width="6.42578125" style="1" customWidth="1"/>
    <col min="7735" max="7965" width="8.7109375" style="1"/>
    <col min="7966" max="7966" width="3.7109375" style="1" customWidth="1"/>
    <col min="7967" max="7967" width="4.28515625" style="1" customWidth="1"/>
    <col min="7968" max="7968" width="11.28515625" style="1" customWidth="1"/>
    <col min="7969" max="7969" width="13.42578125" style="1" customWidth="1"/>
    <col min="7970" max="7972" width="5.42578125" style="1" customWidth="1"/>
    <col min="7973" max="7973" width="8.28515625" style="1" customWidth="1"/>
    <col min="7974" max="7976" width="4.7109375" style="1" customWidth="1"/>
    <col min="7977" max="7977" width="11.7109375" style="1" customWidth="1"/>
    <col min="7978" max="7979" width="7" style="1" customWidth="1"/>
    <col min="7980" max="7980" width="6.42578125" style="1" customWidth="1"/>
    <col min="7981" max="7981" width="15" style="1" customWidth="1"/>
    <col min="7982" max="7982" width="5.28515625" style="1" customWidth="1"/>
    <col min="7983" max="7985" width="4.7109375" style="1" customWidth="1"/>
    <col min="7986" max="7986" width="11.7109375" style="1" customWidth="1"/>
    <col min="7987" max="7987" width="10" style="1" customWidth="1"/>
    <col min="7988" max="7988" width="7.42578125" style="1" customWidth="1"/>
    <col min="7989" max="7989" width="7.140625" style="1" customWidth="1"/>
    <col min="7990" max="7990" width="6.42578125" style="1" customWidth="1"/>
    <col min="7991" max="8221" width="8.7109375" style="1"/>
    <col min="8222" max="8222" width="3.7109375" style="1" customWidth="1"/>
    <col min="8223" max="8223" width="4.28515625" style="1" customWidth="1"/>
    <col min="8224" max="8224" width="11.28515625" style="1" customWidth="1"/>
    <col min="8225" max="8225" width="13.42578125" style="1" customWidth="1"/>
    <col min="8226" max="8228" width="5.42578125" style="1" customWidth="1"/>
    <col min="8229" max="8229" width="8.28515625" style="1" customWidth="1"/>
    <col min="8230" max="8232" width="4.7109375" style="1" customWidth="1"/>
    <col min="8233" max="8233" width="11.7109375" style="1" customWidth="1"/>
    <col min="8234" max="8235" width="7" style="1" customWidth="1"/>
    <col min="8236" max="8236" width="6.42578125" style="1" customWidth="1"/>
    <col min="8237" max="8237" width="15" style="1" customWidth="1"/>
    <col min="8238" max="8238" width="5.28515625" style="1" customWidth="1"/>
    <col min="8239" max="8241" width="4.7109375" style="1" customWidth="1"/>
    <col min="8242" max="8242" width="11.7109375" style="1" customWidth="1"/>
    <col min="8243" max="8243" width="10" style="1" customWidth="1"/>
    <col min="8244" max="8244" width="7.42578125" style="1" customWidth="1"/>
    <col min="8245" max="8245" width="7.140625" style="1" customWidth="1"/>
    <col min="8246" max="8246" width="6.42578125" style="1" customWidth="1"/>
    <col min="8247" max="8477" width="8.7109375" style="1"/>
    <col min="8478" max="8478" width="3.7109375" style="1" customWidth="1"/>
    <col min="8479" max="8479" width="4.28515625" style="1" customWidth="1"/>
    <col min="8480" max="8480" width="11.28515625" style="1" customWidth="1"/>
    <col min="8481" max="8481" width="13.42578125" style="1" customWidth="1"/>
    <col min="8482" max="8484" width="5.42578125" style="1" customWidth="1"/>
    <col min="8485" max="8485" width="8.28515625" style="1" customWidth="1"/>
    <col min="8486" max="8488" width="4.7109375" style="1" customWidth="1"/>
    <col min="8489" max="8489" width="11.7109375" style="1" customWidth="1"/>
    <col min="8490" max="8491" width="7" style="1" customWidth="1"/>
    <col min="8492" max="8492" width="6.42578125" style="1" customWidth="1"/>
    <col min="8493" max="8493" width="15" style="1" customWidth="1"/>
    <col min="8494" max="8494" width="5.28515625" style="1" customWidth="1"/>
    <col min="8495" max="8497" width="4.7109375" style="1" customWidth="1"/>
    <col min="8498" max="8498" width="11.7109375" style="1" customWidth="1"/>
    <col min="8499" max="8499" width="10" style="1" customWidth="1"/>
    <col min="8500" max="8500" width="7.42578125" style="1" customWidth="1"/>
    <col min="8501" max="8501" width="7.140625" style="1" customWidth="1"/>
    <col min="8502" max="8502" width="6.42578125" style="1" customWidth="1"/>
    <col min="8503" max="8733" width="8.7109375" style="1"/>
    <col min="8734" max="8734" width="3.7109375" style="1" customWidth="1"/>
    <col min="8735" max="8735" width="4.28515625" style="1" customWidth="1"/>
    <col min="8736" max="8736" width="11.28515625" style="1" customWidth="1"/>
    <col min="8737" max="8737" width="13.42578125" style="1" customWidth="1"/>
    <col min="8738" max="8740" width="5.42578125" style="1" customWidth="1"/>
    <col min="8741" max="8741" width="8.28515625" style="1" customWidth="1"/>
    <col min="8742" max="8744" width="4.7109375" style="1" customWidth="1"/>
    <col min="8745" max="8745" width="11.7109375" style="1" customWidth="1"/>
    <col min="8746" max="8747" width="7" style="1" customWidth="1"/>
    <col min="8748" max="8748" width="6.42578125" style="1" customWidth="1"/>
    <col min="8749" max="8749" width="15" style="1" customWidth="1"/>
    <col min="8750" max="8750" width="5.28515625" style="1" customWidth="1"/>
    <col min="8751" max="8753" width="4.7109375" style="1" customWidth="1"/>
    <col min="8754" max="8754" width="11.7109375" style="1" customWidth="1"/>
    <col min="8755" max="8755" width="10" style="1" customWidth="1"/>
    <col min="8756" max="8756" width="7.42578125" style="1" customWidth="1"/>
    <col min="8757" max="8757" width="7.140625" style="1" customWidth="1"/>
    <col min="8758" max="8758" width="6.42578125" style="1" customWidth="1"/>
    <col min="8759" max="8989" width="8.7109375" style="1"/>
    <col min="8990" max="8990" width="3.7109375" style="1" customWidth="1"/>
    <col min="8991" max="8991" width="4.28515625" style="1" customWidth="1"/>
    <col min="8992" max="8992" width="11.28515625" style="1" customWidth="1"/>
    <col min="8993" max="8993" width="13.42578125" style="1" customWidth="1"/>
    <col min="8994" max="8996" width="5.42578125" style="1" customWidth="1"/>
    <col min="8997" max="8997" width="8.28515625" style="1" customWidth="1"/>
    <col min="8998" max="9000" width="4.7109375" style="1" customWidth="1"/>
    <col min="9001" max="9001" width="11.7109375" style="1" customWidth="1"/>
    <col min="9002" max="9003" width="7" style="1" customWidth="1"/>
    <col min="9004" max="9004" width="6.42578125" style="1" customWidth="1"/>
    <col min="9005" max="9005" width="15" style="1" customWidth="1"/>
    <col min="9006" max="9006" width="5.28515625" style="1" customWidth="1"/>
    <col min="9007" max="9009" width="4.7109375" style="1" customWidth="1"/>
    <col min="9010" max="9010" width="11.7109375" style="1" customWidth="1"/>
    <col min="9011" max="9011" width="10" style="1" customWidth="1"/>
    <col min="9012" max="9012" width="7.42578125" style="1" customWidth="1"/>
    <col min="9013" max="9013" width="7.140625" style="1" customWidth="1"/>
    <col min="9014" max="9014" width="6.42578125" style="1" customWidth="1"/>
    <col min="9015" max="9245" width="8.7109375" style="1"/>
    <col min="9246" max="9246" width="3.7109375" style="1" customWidth="1"/>
    <col min="9247" max="9247" width="4.28515625" style="1" customWidth="1"/>
    <col min="9248" max="9248" width="11.28515625" style="1" customWidth="1"/>
    <col min="9249" max="9249" width="13.42578125" style="1" customWidth="1"/>
    <col min="9250" max="9252" width="5.42578125" style="1" customWidth="1"/>
    <col min="9253" max="9253" width="8.28515625" style="1" customWidth="1"/>
    <col min="9254" max="9256" width="4.7109375" style="1" customWidth="1"/>
    <col min="9257" max="9257" width="11.7109375" style="1" customWidth="1"/>
    <col min="9258" max="9259" width="7" style="1" customWidth="1"/>
    <col min="9260" max="9260" width="6.42578125" style="1" customWidth="1"/>
    <col min="9261" max="9261" width="15" style="1" customWidth="1"/>
    <col min="9262" max="9262" width="5.28515625" style="1" customWidth="1"/>
    <col min="9263" max="9265" width="4.7109375" style="1" customWidth="1"/>
    <col min="9266" max="9266" width="11.7109375" style="1" customWidth="1"/>
    <col min="9267" max="9267" width="10" style="1" customWidth="1"/>
    <col min="9268" max="9268" width="7.42578125" style="1" customWidth="1"/>
    <col min="9269" max="9269" width="7.140625" style="1" customWidth="1"/>
    <col min="9270" max="9270" width="6.42578125" style="1" customWidth="1"/>
    <col min="9271" max="9501" width="8.7109375" style="1"/>
    <col min="9502" max="9502" width="3.7109375" style="1" customWidth="1"/>
    <col min="9503" max="9503" width="4.28515625" style="1" customWidth="1"/>
    <col min="9504" max="9504" width="11.28515625" style="1" customWidth="1"/>
    <col min="9505" max="9505" width="13.42578125" style="1" customWidth="1"/>
    <col min="9506" max="9508" width="5.42578125" style="1" customWidth="1"/>
    <col min="9509" max="9509" width="8.28515625" style="1" customWidth="1"/>
    <col min="9510" max="9512" width="4.7109375" style="1" customWidth="1"/>
    <col min="9513" max="9513" width="11.7109375" style="1" customWidth="1"/>
    <col min="9514" max="9515" width="7" style="1" customWidth="1"/>
    <col min="9516" max="9516" width="6.42578125" style="1" customWidth="1"/>
    <col min="9517" max="9517" width="15" style="1" customWidth="1"/>
    <col min="9518" max="9518" width="5.28515625" style="1" customWidth="1"/>
    <col min="9519" max="9521" width="4.7109375" style="1" customWidth="1"/>
    <col min="9522" max="9522" width="11.7109375" style="1" customWidth="1"/>
    <col min="9523" max="9523" width="10" style="1" customWidth="1"/>
    <col min="9524" max="9524" width="7.42578125" style="1" customWidth="1"/>
    <col min="9525" max="9525" width="7.140625" style="1" customWidth="1"/>
    <col min="9526" max="9526" width="6.42578125" style="1" customWidth="1"/>
    <col min="9527" max="9757" width="8.7109375" style="1"/>
    <col min="9758" max="9758" width="3.7109375" style="1" customWidth="1"/>
    <col min="9759" max="9759" width="4.28515625" style="1" customWidth="1"/>
    <col min="9760" max="9760" width="11.28515625" style="1" customWidth="1"/>
    <col min="9761" max="9761" width="13.42578125" style="1" customWidth="1"/>
    <col min="9762" max="9764" width="5.42578125" style="1" customWidth="1"/>
    <col min="9765" max="9765" width="8.28515625" style="1" customWidth="1"/>
    <col min="9766" max="9768" width="4.7109375" style="1" customWidth="1"/>
    <col min="9769" max="9769" width="11.7109375" style="1" customWidth="1"/>
    <col min="9770" max="9771" width="7" style="1" customWidth="1"/>
    <col min="9772" max="9772" width="6.42578125" style="1" customWidth="1"/>
    <col min="9773" max="9773" width="15" style="1" customWidth="1"/>
    <col min="9774" max="9774" width="5.28515625" style="1" customWidth="1"/>
    <col min="9775" max="9777" width="4.7109375" style="1" customWidth="1"/>
    <col min="9778" max="9778" width="11.7109375" style="1" customWidth="1"/>
    <col min="9779" max="9779" width="10" style="1" customWidth="1"/>
    <col min="9780" max="9780" width="7.42578125" style="1" customWidth="1"/>
    <col min="9781" max="9781" width="7.140625" style="1" customWidth="1"/>
    <col min="9782" max="9782" width="6.42578125" style="1" customWidth="1"/>
    <col min="9783" max="10013" width="8.7109375" style="1"/>
    <col min="10014" max="10014" width="3.7109375" style="1" customWidth="1"/>
    <col min="10015" max="10015" width="4.28515625" style="1" customWidth="1"/>
    <col min="10016" max="10016" width="11.28515625" style="1" customWidth="1"/>
    <col min="10017" max="10017" width="13.42578125" style="1" customWidth="1"/>
    <col min="10018" max="10020" width="5.42578125" style="1" customWidth="1"/>
    <col min="10021" max="10021" width="8.28515625" style="1" customWidth="1"/>
    <col min="10022" max="10024" width="4.7109375" style="1" customWidth="1"/>
    <col min="10025" max="10025" width="11.7109375" style="1" customWidth="1"/>
    <col min="10026" max="10027" width="7" style="1" customWidth="1"/>
    <col min="10028" max="10028" width="6.42578125" style="1" customWidth="1"/>
    <col min="10029" max="10029" width="15" style="1" customWidth="1"/>
    <col min="10030" max="10030" width="5.28515625" style="1" customWidth="1"/>
    <col min="10031" max="10033" width="4.7109375" style="1" customWidth="1"/>
    <col min="10034" max="10034" width="11.7109375" style="1" customWidth="1"/>
    <col min="10035" max="10035" width="10" style="1" customWidth="1"/>
    <col min="10036" max="10036" width="7.42578125" style="1" customWidth="1"/>
    <col min="10037" max="10037" width="7.140625" style="1" customWidth="1"/>
    <col min="10038" max="10038" width="6.42578125" style="1" customWidth="1"/>
    <col min="10039" max="10269" width="8.7109375" style="1"/>
    <col min="10270" max="10270" width="3.7109375" style="1" customWidth="1"/>
    <col min="10271" max="10271" width="4.28515625" style="1" customWidth="1"/>
    <col min="10272" max="10272" width="11.28515625" style="1" customWidth="1"/>
    <col min="10273" max="10273" width="13.42578125" style="1" customWidth="1"/>
    <col min="10274" max="10276" width="5.42578125" style="1" customWidth="1"/>
    <col min="10277" max="10277" width="8.28515625" style="1" customWidth="1"/>
    <col min="10278" max="10280" width="4.7109375" style="1" customWidth="1"/>
    <col min="10281" max="10281" width="11.7109375" style="1" customWidth="1"/>
    <col min="10282" max="10283" width="7" style="1" customWidth="1"/>
    <col min="10284" max="10284" width="6.42578125" style="1" customWidth="1"/>
    <col min="10285" max="10285" width="15" style="1" customWidth="1"/>
    <col min="10286" max="10286" width="5.28515625" style="1" customWidth="1"/>
    <col min="10287" max="10289" width="4.7109375" style="1" customWidth="1"/>
    <col min="10290" max="10290" width="11.7109375" style="1" customWidth="1"/>
    <col min="10291" max="10291" width="10" style="1" customWidth="1"/>
    <col min="10292" max="10292" width="7.42578125" style="1" customWidth="1"/>
    <col min="10293" max="10293" width="7.140625" style="1" customWidth="1"/>
    <col min="10294" max="10294" width="6.42578125" style="1" customWidth="1"/>
    <col min="10295" max="10525" width="8.7109375" style="1"/>
    <col min="10526" max="10526" width="3.7109375" style="1" customWidth="1"/>
    <col min="10527" max="10527" width="4.28515625" style="1" customWidth="1"/>
    <col min="10528" max="10528" width="11.28515625" style="1" customWidth="1"/>
    <col min="10529" max="10529" width="13.42578125" style="1" customWidth="1"/>
    <col min="10530" max="10532" width="5.42578125" style="1" customWidth="1"/>
    <col min="10533" max="10533" width="8.28515625" style="1" customWidth="1"/>
    <col min="10534" max="10536" width="4.7109375" style="1" customWidth="1"/>
    <col min="10537" max="10537" width="11.7109375" style="1" customWidth="1"/>
    <col min="10538" max="10539" width="7" style="1" customWidth="1"/>
    <col min="10540" max="10540" width="6.42578125" style="1" customWidth="1"/>
    <col min="10541" max="10541" width="15" style="1" customWidth="1"/>
    <col min="10542" max="10542" width="5.28515625" style="1" customWidth="1"/>
    <col min="10543" max="10545" width="4.7109375" style="1" customWidth="1"/>
    <col min="10546" max="10546" width="11.7109375" style="1" customWidth="1"/>
    <col min="10547" max="10547" width="10" style="1" customWidth="1"/>
    <col min="10548" max="10548" width="7.42578125" style="1" customWidth="1"/>
    <col min="10549" max="10549" width="7.140625" style="1" customWidth="1"/>
    <col min="10550" max="10550" width="6.42578125" style="1" customWidth="1"/>
    <col min="10551" max="10781" width="8.7109375" style="1"/>
    <col min="10782" max="10782" width="3.7109375" style="1" customWidth="1"/>
    <col min="10783" max="10783" width="4.28515625" style="1" customWidth="1"/>
    <col min="10784" max="10784" width="11.28515625" style="1" customWidth="1"/>
    <col min="10785" max="10785" width="13.42578125" style="1" customWidth="1"/>
    <col min="10786" max="10788" width="5.42578125" style="1" customWidth="1"/>
    <col min="10789" max="10789" width="8.28515625" style="1" customWidth="1"/>
    <col min="10790" max="10792" width="4.7109375" style="1" customWidth="1"/>
    <col min="10793" max="10793" width="11.7109375" style="1" customWidth="1"/>
    <col min="10794" max="10795" width="7" style="1" customWidth="1"/>
    <col min="10796" max="10796" width="6.42578125" style="1" customWidth="1"/>
    <col min="10797" max="10797" width="15" style="1" customWidth="1"/>
    <col min="10798" max="10798" width="5.28515625" style="1" customWidth="1"/>
    <col min="10799" max="10801" width="4.7109375" style="1" customWidth="1"/>
    <col min="10802" max="10802" width="11.7109375" style="1" customWidth="1"/>
    <col min="10803" max="10803" width="10" style="1" customWidth="1"/>
    <col min="10804" max="10804" width="7.42578125" style="1" customWidth="1"/>
    <col min="10805" max="10805" width="7.140625" style="1" customWidth="1"/>
    <col min="10806" max="10806" width="6.42578125" style="1" customWidth="1"/>
    <col min="10807" max="11037" width="8.7109375" style="1"/>
    <col min="11038" max="11038" width="3.7109375" style="1" customWidth="1"/>
    <col min="11039" max="11039" width="4.28515625" style="1" customWidth="1"/>
    <col min="11040" max="11040" width="11.28515625" style="1" customWidth="1"/>
    <col min="11041" max="11041" width="13.42578125" style="1" customWidth="1"/>
    <col min="11042" max="11044" width="5.42578125" style="1" customWidth="1"/>
    <col min="11045" max="11045" width="8.28515625" style="1" customWidth="1"/>
    <col min="11046" max="11048" width="4.7109375" style="1" customWidth="1"/>
    <col min="11049" max="11049" width="11.7109375" style="1" customWidth="1"/>
    <col min="11050" max="11051" width="7" style="1" customWidth="1"/>
    <col min="11052" max="11052" width="6.42578125" style="1" customWidth="1"/>
    <col min="11053" max="11053" width="15" style="1" customWidth="1"/>
    <col min="11054" max="11054" width="5.28515625" style="1" customWidth="1"/>
    <col min="11055" max="11057" width="4.7109375" style="1" customWidth="1"/>
    <col min="11058" max="11058" width="11.7109375" style="1" customWidth="1"/>
    <col min="11059" max="11059" width="10" style="1" customWidth="1"/>
    <col min="11060" max="11060" width="7.42578125" style="1" customWidth="1"/>
    <col min="11061" max="11061" width="7.140625" style="1" customWidth="1"/>
    <col min="11062" max="11062" width="6.42578125" style="1" customWidth="1"/>
    <col min="11063" max="11293" width="8.7109375" style="1"/>
    <col min="11294" max="11294" width="3.7109375" style="1" customWidth="1"/>
    <col min="11295" max="11295" width="4.28515625" style="1" customWidth="1"/>
    <col min="11296" max="11296" width="11.28515625" style="1" customWidth="1"/>
    <col min="11297" max="11297" width="13.42578125" style="1" customWidth="1"/>
    <col min="11298" max="11300" width="5.42578125" style="1" customWidth="1"/>
    <col min="11301" max="11301" width="8.28515625" style="1" customWidth="1"/>
    <col min="11302" max="11304" width="4.7109375" style="1" customWidth="1"/>
    <col min="11305" max="11305" width="11.7109375" style="1" customWidth="1"/>
    <col min="11306" max="11307" width="7" style="1" customWidth="1"/>
    <col min="11308" max="11308" width="6.42578125" style="1" customWidth="1"/>
    <col min="11309" max="11309" width="15" style="1" customWidth="1"/>
    <col min="11310" max="11310" width="5.28515625" style="1" customWidth="1"/>
    <col min="11311" max="11313" width="4.7109375" style="1" customWidth="1"/>
    <col min="11314" max="11314" width="11.7109375" style="1" customWidth="1"/>
    <col min="11315" max="11315" width="10" style="1" customWidth="1"/>
    <col min="11316" max="11316" width="7.42578125" style="1" customWidth="1"/>
    <col min="11317" max="11317" width="7.140625" style="1" customWidth="1"/>
    <col min="11318" max="11318" width="6.42578125" style="1" customWidth="1"/>
    <col min="11319" max="11549" width="8.7109375" style="1"/>
    <col min="11550" max="11550" width="3.7109375" style="1" customWidth="1"/>
    <col min="11551" max="11551" width="4.28515625" style="1" customWidth="1"/>
    <col min="11552" max="11552" width="11.28515625" style="1" customWidth="1"/>
    <col min="11553" max="11553" width="13.42578125" style="1" customWidth="1"/>
    <col min="11554" max="11556" width="5.42578125" style="1" customWidth="1"/>
    <col min="11557" max="11557" width="8.28515625" style="1" customWidth="1"/>
    <col min="11558" max="11560" width="4.7109375" style="1" customWidth="1"/>
    <col min="11561" max="11561" width="11.7109375" style="1" customWidth="1"/>
    <col min="11562" max="11563" width="7" style="1" customWidth="1"/>
    <col min="11564" max="11564" width="6.42578125" style="1" customWidth="1"/>
    <col min="11565" max="11565" width="15" style="1" customWidth="1"/>
    <col min="11566" max="11566" width="5.28515625" style="1" customWidth="1"/>
    <col min="11567" max="11569" width="4.7109375" style="1" customWidth="1"/>
    <col min="11570" max="11570" width="11.7109375" style="1" customWidth="1"/>
    <col min="11571" max="11571" width="10" style="1" customWidth="1"/>
    <col min="11572" max="11572" width="7.42578125" style="1" customWidth="1"/>
    <col min="11573" max="11573" width="7.140625" style="1" customWidth="1"/>
    <col min="11574" max="11574" width="6.42578125" style="1" customWidth="1"/>
    <col min="11575" max="11805" width="8.7109375" style="1"/>
    <col min="11806" max="11806" width="3.7109375" style="1" customWidth="1"/>
    <col min="11807" max="11807" width="4.28515625" style="1" customWidth="1"/>
    <col min="11808" max="11808" width="11.28515625" style="1" customWidth="1"/>
    <col min="11809" max="11809" width="13.42578125" style="1" customWidth="1"/>
    <col min="11810" max="11812" width="5.42578125" style="1" customWidth="1"/>
    <col min="11813" max="11813" width="8.28515625" style="1" customWidth="1"/>
    <col min="11814" max="11816" width="4.7109375" style="1" customWidth="1"/>
    <col min="11817" max="11817" width="11.7109375" style="1" customWidth="1"/>
    <col min="11818" max="11819" width="7" style="1" customWidth="1"/>
    <col min="11820" max="11820" width="6.42578125" style="1" customWidth="1"/>
    <col min="11821" max="11821" width="15" style="1" customWidth="1"/>
    <col min="11822" max="11822" width="5.28515625" style="1" customWidth="1"/>
    <col min="11823" max="11825" width="4.7109375" style="1" customWidth="1"/>
    <col min="11826" max="11826" width="11.7109375" style="1" customWidth="1"/>
    <col min="11827" max="11827" width="10" style="1" customWidth="1"/>
    <col min="11828" max="11828" width="7.42578125" style="1" customWidth="1"/>
    <col min="11829" max="11829" width="7.140625" style="1" customWidth="1"/>
    <col min="11830" max="11830" width="6.42578125" style="1" customWidth="1"/>
    <col min="11831" max="12061" width="8.7109375" style="1"/>
    <col min="12062" max="12062" width="3.7109375" style="1" customWidth="1"/>
    <col min="12063" max="12063" width="4.28515625" style="1" customWidth="1"/>
    <col min="12064" max="12064" width="11.28515625" style="1" customWidth="1"/>
    <col min="12065" max="12065" width="13.42578125" style="1" customWidth="1"/>
    <col min="12066" max="12068" width="5.42578125" style="1" customWidth="1"/>
    <col min="12069" max="12069" width="8.28515625" style="1" customWidth="1"/>
    <col min="12070" max="12072" width="4.7109375" style="1" customWidth="1"/>
    <col min="12073" max="12073" width="11.7109375" style="1" customWidth="1"/>
    <col min="12074" max="12075" width="7" style="1" customWidth="1"/>
    <col min="12076" max="12076" width="6.42578125" style="1" customWidth="1"/>
    <col min="12077" max="12077" width="15" style="1" customWidth="1"/>
    <col min="12078" max="12078" width="5.28515625" style="1" customWidth="1"/>
    <col min="12079" max="12081" width="4.7109375" style="1" customWidth="1"/>
    <col min="12082" max="12082" width="11.7109375" style="1" customWidth="1"/>
    <col min="12083" max="12083" width="10" style="1" customWidth="1"/>
    <col min="12084" max="12084" width="7.42578125" style="1" customWidth="1"/>
    <col min="12085" max="12085" width="7.140625" style="1" customWidth="1"/>
    <col min="12086" max="12086" width="6.42578125" style="1" customWidth="1"/>
    <col min="12087" max="12317" width="8.7109375" style="1"/>
    <col min="12318" max="12318" width="3.7109375" style="1" customWidth="1"/>
    <col min="12319" max="12319" width="4.28515625" style="1" customWidth="1"/>
    <col min="12320" max="12320" width="11.28515625" style="1" customWidth="1"/>
    <col min="12321" max="12321" width="13.42578125" style="1" customWidth="1"/>
    <col min="12322" max="12324" width="5.42578125" style="1" customWidth="1"/>
    <col min="12325" max="12325" width="8.28515625" style="1" customWidth="1"/>
    <col min="12326" max="12328" width="4.7109375" style="1" customWidth="1"/>
    <col min="12329" max="12329" width="11.7109375" style="1" customWidth="1"/>
    <col min="12330" max="12331" width="7" style="1" customWidth="1"/>
    <col min="12332" max="12332" width="6.42578125" style="1" customWidth="1"/>
    <col min="12333" max="12333" width="15" style="1" customWidth="1"/>
    <col min="12334" max="12334" width="5.28515625" style="1" customWidth="1"/>
    <col min="12335" max="12337" width="4.7109375" style="1" customWidth="1"/>
    <col min="12338" max="12338" width="11.7109375" style="1" customWidth="1"/>
    <col min="12339" max="12339" width="10" style="1" customWidth="1"/>
    <col min="12340" max="12340" width="7.42578125" style="1" customWidth="1"/>
    <col min="12341" max="12341" width="7.140625" style="1" customWidth="1"/>
    <col min="12342" max="12342" width="6.42578125" style="1" customWidth="1"/>
    <col min="12343" max="12573" width="8.7109375" style="1"/>
    <col min="12574" max="12574" width="3.7109375" style="1" customWidth="1"/>
    <col min="12575" max="12575" width="4.28515625" style="1" customWidth="1"/>
    <col min="12576" max="12576" width="11.28515625" style="1" customWidth="1"/>
    <col min="12577" max="12577" width="13.42578125" style="1" customWidth="1"/>
    <col min="12578" max="12580" width="5.42578125" style="1" customWidth="1"/>
    <col min="12581" max="12581" width="8.28515625" style="1" customWidth="1"/>
    <col min="12582" max="12584" width="4.7109375" style="1" customWidth="1"/>
    <col min="12585" max="12585" width="11.7109375" style="1" customWidth="1"/>
    <col min="12586" max="12587" width="7" style="1" customWidth="1"/>
    <col min="12588" max="12588" width="6.42578125" style="1" customWidth="1"/>
    <col min="12589" max="12589" width="15" style="1" customWidth="1"/>
    <col min="12590" max="12590" width="5.28515625" style="1" customWidth="1"/>
    <col min="12591" max="12593" width="4.7109375" style="1" customWidth="1"/>
    <col min="12594" max="12594" width="11.7109375" style="1" customWidth="1"/>
    <col min="12595" max="12595" width="10" style="1" customWidth="1"/>
    <col min="12596" max="12596" width="7.42578125" style="1" customWidth="1"/>
    <col min="12597" max="12597" width="7.140625" style="1" customWidth="1"/>
    <col min="12598" max="12598" width="6.42578125" style="1" customWidth="1"/>
    <col min="12599" max="12829" width="8.7109375" style="1"/>
    <col min="12830" max="12830" width="3.7109375" style="1" customWidth="1"/>
    <col min="12831" max="12831" width="4.28515625" style="1" customWidth="1"/>
    <col min="12832" max="12832" width="11.28515625" style="1" customWidth="1"/>
    <col min="12833" max="12833" width="13.42578125" style="1" customWidth="1"/>
    <col min="12834" max="12836" width="5.42578125" style="1" customWidth="1"/>
    <col min="12837" max="12837" width="8.28515625" style="1" customWidth="1"/>
    <col min="12838" max="12840" width="4.7109375" style="1" customWidth="1"/>
    <col min="12841" max="12841" width="11.7109375" style="1" customWidth="1"/>
    <col min="12842" max="12843" width="7" style="1" customWidth="1"/>
    <col min="12844" max="12844" width="6.42578125" style="1" customWidth="1"/>
    <col min="12845" max="12845" width="15" style="1" customWidth="1"/>
    <col min="12846" max="12846" width="5.28515625" style="1" customWidth="1"/>
    <col min="12847" max="12849" width="4.7109375" style="1" customWidth="1"/>
    <col min="12850" max="12850" width="11.7109375" style="1" customWidth="1"/>
    <col min="12851" max="12851" width="10" style="1" customWidth="1"/>
    <col min="12852" max="12852" width="7.42578125" style="1" customWidth="1"/>
    <col min="12853" max="12853" width="7.140625" style="1" customWidth="1"/>
    <col min="12854" max="12854" width="6.42578125" style="1" customWidth="1"/>
    <col min="12855" max="13085" width="8.7109375" style="1"/>
    <col min="13086" max="13086" width="3.7109375" style="1" customWidth="1"/>
    <col min="13087" max="13087" width="4.28515625" style="1" customWidth="1"/>
    <col min="13088" max="13088" width="11.28515625" style="1" customWidth="1"/>
    <col min="13089" max="13089" width="13.42578125" style="1" customWidth="1"/>
    <col min="13090" max="13092" width="5.42578125" style="1" customWidth="1"/>
    <col min="13093" max="13093" width="8.28515625" style="1" customWidth="1"/>
    <col min="13094" max="13096" width="4.7109375" style="1" customWidth="1"/>
    <col min="13097" max="13097" width="11.7109375" style="1" customWidth="1"/>
    <col min="13098" max="13099" width="7" style="1" customWidth="1"/>
    <col min="13100" max="13100" width="6.42578125" style="1" customWidth="1"/>
    <col min="13101" max="13101" width="15" style="1" customWidth="1"/>
    <col min="13102" max="13102" width="5.28515625" style="1" customWidth="1"/>
    <col min="13103" max="13105" width="4.7109375" style="1" customWidth="1"/>
    <col min="13106" max="13106" width="11.7109375" style="1" customWidth="1"/>
    <col min="13107" max="13107" width="10" style="1" customWidth="1"/>
    <col min="13108" max="13108" width="7.42578125" style="1" customWidth="1"/>
    <col min="13109" max="13109" width="7.140625" style="1" customWidth="1"/>
    <col min="13110" max="13110" width="6.42578125" style="1" customWidth="1"/>
    <col min="13111" max="13341" width="8.7109375" style="1"/>
    <col min="13342" max="13342" width="3.7109375" style="1" customWidth="1"/>
    <col min="13343" max="13343" width="4.28515625" style="1" customWidth="1"/>
    <col min="13344" max="13344" width="11.28515625" style="1" customWidth="1"/>
    <col min="13345" max="13345" width="13.42578125" style="1" customWidth="1"/>
    <col min="13346" max="13348" width="5.42578125" style="1" customWidth="1"/>
    <col min="13349" max="13349" width="8.28515625" style="1" customWidth="1"/>
    <col min="13350" max="13352" width="4.7109375" style="1" customWidth="1"/>
    <col min="13353" max="13353" width="11.7109375" style="1" customWidth="1"/>
    <col min="13354" max="13355" width="7" style="1" customWidth="1"/>
    <col min="13356" max="13356" width="6.42578125" style="1" customWidth="1"/>
    <col min="13357" max="13357" width="15" style="1" customWidth="1"/>
    <col min="13358" max="13358" width="5.28515625" style="1" customWidth="1"/>
    <col min="13359" max="13361" width="4.7109375" style="1" customWidth="1"/>
    <col min="13362" max="13362" width="11.7109375" style="1" customWidth="1"/>
    <col min="13363" max="13363" width="10" style="1" customWidth="1"/>
    <col min="13364" max="13364" width="7.42578125" style="1" customWidth="1"/>
    <col min="13365" max="13365" width="7.140625" style="1" customWidth="1"/>
    <col min="13366" max="13366" width="6.42578125" style="1" customWidth="1"/>
    <col min="13367" max="13597" width="8.7109375" style="1"/>
    <col min="13598" max="13598" width="3.7109375" style="1" customWidth="1"/>
    <col min="13599" max="13599" width="4.28515625" style="1" customWidth="1"/>
    <col min="13600" max="13600" width="11.28515625" style="1" customWidth="1"/>
    <col min="13601" max="13601" width="13.42578125" style="1" customWidth="1"/>
    <col min="13602" max="13604" width="5.42578125" style="1" customWidth="1"/>
    <col min="13605" max="13605" width="8.28515625" style="1" customWidth="1"/>
    <col min="13606" max="13608" width="4.7109375" style="1" customWidth="1"/>
    <col min="13609" max="13609" width="11.7109375" style="1" customWidth="1"/>
    <col min="13610" max="13611" width="7" style="1" customWidth="1"/>
    <col min="13612" max="13612" width="6.42578125" style="1" customWidth="1"/>
    <col min="13613" max="13613" width="15" style="1" customWidth="1"/>
    <col min="13614" max="13614" width="5.28515625" style="1" customWidth="1"/>
    <col min="13615" max="13617" width="4.7109375" style="1" customWidth="1"/>
    <col min="13618" max="13618" width="11.7109375" style="1" customWidth="1"/>
    <col min="13619" max="13619" width="10" style="1" customWidth="1"/>
    <col min="13620" max="13620" width="7.42578125" style="1" customWidth="1"/>
    <col min="13621" max="13621" width="7.140625" style="1" customWidth="1"/>
    <col min="13622" max="13622" width="6.42578125" style="1" customWidth="1"/>
    <col min="13623" max="13853" width="8.7109375" style="1"/>
    <col min="13854" max="13854" width="3.7109375" style="1" customWidth="1"/>
    <col min="13855" max="13855" width="4.28515625" style="1" customWidth="1"/>
    <col min="13856" max="13856" width="11.28515625" style="1" customWidth="1"/>
    <col min="13857" max="13857" width="13.42578125" style="1" customWidth="1"/>
    <col min="13858" max="13860" width="5.42578125" style="1" customWidth="1"/>
    <col min="13861" max="13861" width="8.28515625" style="1" customWidth="1"/>
    <col min="13862" max="13864" width="4.7109375" style="1" customWidth="1"/>
    <col min="13865" max="13865" width="11.7109375" style="1" customWidth="1"/>
    <col min="13866" max="13867" width="7" style="1" customWidth="1"/>
    <col min="13868" max="13868" width="6.42578125" style="1" customWidth="1"/>
    <col min="13869" max="13869" width="15" style="1" customWidth="1"/>
    <col min="13870" max="13870" width="5.28515625" style="1" customWidth="1"/>
    <col min="13871" max="13873" width="4.7109375" style="1" customWidth="1"/>
    <col min="13874" max="13874" width="11.7109375" style="1" customWidth="1"/>
    <col min="13875" max="13875" width="10" style="1" customWidth="1"/>
    <col min="13876" max="13876" width="7.42578125" style="1" customWidth="1"/>
    <col min="13877" max="13877" width="7.140625" style="1" customWidth="1"/>
    <col min="13878" max="13878" width="6.42578125" style="1" customWidth="1"/>
    <col min="13879" max="14109" width="8.7109375" style="1"/>
    <col min="14110" max="14110" width="3.7109375" style="1" customWidth="1"/>
    <col min="14111" max="14111" width="4.28515625" style="1" customWidth="1"/>
    <col min="14112" max="14112" width="11.28515625" style="1" customWidth="1"/>
    <col min="14113" max="14113" width="13.42578125" style="1" customWidth="1"/>
    <col min="14114" max="14116" width="5.42578125" style="1" customWidth="1"/>
    <col min="14117" max="14117" width="8.28515625" style="1" customWidth="1"/>
    <col min="14118" max="14120" width="4.7109375" style="1" customWidth="1"/>
    <col min="14121" max="14121" width="11.7109375" style="1" customWidth="1"/>
    <col min="14122" max="14123" width="7" style="1" customWidth="1"/>
    <col min="14124" max="14124" width="6.42578125" style="1" customWidth="1"/>
    <col min="14125" max="14125" width="15" style="1" customWidth="1"/>
    <col min="14126" max="14126" width="5.28515625" style="1" customWidth="1"/>
    <col min="14127" max="14129" width="4.7109375" style="1" customWidth="1"/>
    <col min="14130" max="14130" width="11.7109375" style="1" customWidth="1"/>
    <col min="14131" max="14131" width="10" style="1" customWidth="1"/>
    <col min="14132" max="14132" width="7.42578125" style="1" customWidth="1"/>
    <col min="14133" max="14133" width="7.140625" style="1" customWidth="1"/>
    <col min="14134" max="14134" width="6.42578125" style="1" customWidth="1"/>
    <col min="14135" max="14365" width="8.7109375" style="1"/>
    <col min="14366" max="14366" width="3.7109375" style="1" customWidth="1"/>
    <col min="14367" max="14367" width="4.28515625" style="1" customWidth="1"/>
    <col min="14368" max="14368" width="11.28515625" style="1" customWidth="1"/>
    <col min="14369" max="14369" width="13.42578125" style="1" customWidth="1"/>
    <col min="14370" max="14372" width="5.42578125" style="1" customWidth="1"/>
    <col min="14373" max="14373" width="8.28515625" style="1" customWidth="1"/>
    <col min="14374" max="14376" width="4.7109375" style="1" customWidth="1"/>
    <col min="14377" max="14377" width="11.7109375" style="1" customWidth="1"/>
    <col min="14378" max="14379" width="7" style="1" customWidth="1"/>
    <col min="14380" max="14380" width="6.42578125" style="1" customWidth="1"/>
    <col min="14381" max="14381" width="15" style="1" customWidth="1"/>
    <col min="14382" max="14382" width="5.28515625" style="1" customWidth="1"/>
    <col min="14383" max="14385" width="4.7109375" style="1" customWidth="1"/>
    <col min="14386" max="14386" width="11.7109375" style="1" customWidth="1"/>
    <col min="14387" max="14387" width="10" style="1" customWidth="1"/>
    <col min="14388" max="14388" width="7.42578125" style="1" customWidth="1"/>
    <col min="14389" max="14389" width="7.140625" style="1" customWidth="1"/>
    <col min="14390" max="14390" width="6.42578125" style="1" customWidth="1"/>
    <col min="14391" max="14621" width="8.7109375" style="1"/>
    <col min="14622" max="14622" width="3.7109375" style="1" customWidth="1"/>
    <col min="14623" max="14623" width="4.28515625" style="1" customWidth="1"/>
    <col min="14624" max="14624" width="11.28515625" style="1" customWidth="1"/>
    <col min="14625" max="14625" width="13.42578125" style="1" customWidth="1"/>
    <col min="14626" max="14628" width="5.42578125" style="1" customWidth="1"/>
    <col min="14629" max="14629" width="8.28515625" style="1" customWidth="1"/>
    <col min="14630" max="14632" width="4.7109375" style="1" customWidth="1"/>
    <col min="14633" max="14633" width="11.7109375" style="1" customWidth="1"/>
    <col min="14634" max="14635" width="7" style="1" customWidth="1"/>
    <col min="14636" max="14636" width="6.42578125" style="1" customWidth="1"/>
    <col min="14637" max="14637" width="15" style="1" customWidth="1"/>
    <col min="14638" max="14638" width="5.28515625" style="1" customWidth="1"/>
    <col min="14639" max="14641" width="4.7109375" style="1" customWidth="1"/>
    <col min="14642" max="14642" width="11.7109375" style="1" customWidth="1"/>
    <col min="14643" max="14643" width="10" style="1" customWidth="1"/>
    <col min="14644" max="14644" width="7.42578125" style="1" customWidth="1"/>
    <col min="14645" max="14645" width="7.140625" style="1" customWidth="1"/>
    <col min="14646" max="14646" width="6.42578125" style="1" customWidth="1"/>
    <col min="14647" max="14877" width="8.7109375" style="1"/>
    <col min="14878" max="14878" width="3.7109375" style="1" customWidth="1"/>
    <col min="14879" max="14879" width="4.28515625" style="1" customWidth="1"/>
    <col min="14880" max="14880" width="11.28515625" style="1" customWidth="1"/>
    <col min="14881" max="14881" width="13.42578125" style="1" customWidth="1"/>
    <col min="14882" max="14884" width="5.42578125" style="1" customWidth="1"/>
    <col min="14885" max="14885" width="8.28515625" style="1" customWidth="1"/>
    <col min="14886" max="14888" width="4.7109375" style="1" customWidth="1"/>
    <col min="14889" max="14889" width="11.7109375" style="1" customWidth="1"/>
    <col min="14890" max="14891" width="7" style="1" customWidth="1"/>
    <col min="14892" max="14892" width="6.42578125" style="1" customWidth="1"/>
    <col min="14893" max="14893" width="15" style="1" customWidth="1"/>
    <col min="14894" max="14894" width="5.28515625" style="1" customWidth="1"/>
    <col min="14895" max="14897" width="4.7109375" style="1" customWidth="1"/>
    <col min="14898" max="14898" width="11.7109375" style="1" customWidth="1"/>
    <col min="14899" max="14899" width="10" style="1" customWidth="1"/>
    <col min="14900" max="14900" width="7.42578125" style="1" customWidth="1"/>
    <col min="14901" max="14901" width="7.140625" style="1" customWidth="1"/>
    <col min="14902" max="14902" width="6.42578125" style="1" customWidth="1"/>
    <col min="14903" max="15133" width="8.7109375" style="1"/>
    <col min="15134" max="15134" width="3.7109375" style="1" customWidth="1"/>
    <col min="15135" max="15135" width="4.28515625" style="1" customWidth="1"/>
    <col min="15136" max="15136" width="11.28515625" style="1" customWidth="1"/>
    <col min="15137" max="15137" width="13.42578125" style="1" customWidth="1"/>
    <col min="15138" max="15140" width="5.42578125" style="1" customWidth="1"/>
    <col min="15141" max="15141" width="8.28515625" style="1" customWidth="1"/>
    <col min="15142" max="15144" width="4.7109375" style="1" customWidth="1"/>
    <col min="15145" max="15145" width="11.7109375" style="1" customWidth="1"/>
    <col min="15146" max="15147" width="7" style="1" customWidth="1"/>
    <col min="15148" max="15148" width="6.42578125" style="1" customWidth="1"/>
    <col min="15149" max="15149" width="15" style="1" customWidth="1"/>
    <col min="15150" max="15150" width="5.28515625" style="1" customWidth="1"/>
    <col min="15151" max="15153" width="4.7109375" style="1" customWidth="1"/>
    <col min="15154" max="15154" width="11.7109375" style="1" customWidth="1"/>
    <col min="15155" max="15155" width="10" style="1" customWidth="1"/>
    <col min="15156" max="15156" width="7.42578125" style="1" customWidth="1"/>
    <col min="15157" max="15157" width="7.140625" style="1" customWidth="1"/>
    <col min="15158" max="15158" width="6.42578125" style="1" customWidth="1"/>
    <col min="15159" max="15389" width="8.7109375" style="1"/>
    <col min="15390" max="15390" width="3.7109375" style="1" customWidth="1"/>
    <col min="15391" max="15391" width="4.28515625" style="1" customWidth="1"/>
    <col min="15392" max="15392" width="11.28515625" style="1" customWidth="1"/>
    <col min="15393" max="15393" width="13.42578125" style="1" customWidth="1"/>
    <col min="15394" max="15396" width="5.42578125" style="1" customWidth="1"/>
    <col min="15397" max="15397" width="8.28515625" style="1" customWidth="1"/>
    <col min="15398" max="15400" width="4.7109375" style="1" customWidth="1"/>
    <col min="15401" max="15401" width="11.7109375" style="1" customWidth="1"/>
    <col min="15402" max="15403" width="7" style="1" customWidth="1"/>
    <col min="15404" max="15404" width="6.42578125" style="1" customWidth="1"/>
    <col min="15405" max="15405" width="15" style="1" customWidth="1"/>
    <col min="15406" max="15406" width="5.28515625" style="1" customWidth="1"/>
    <col min="15407" max="15409" width="4.7109375" style="1" customWidth="1"/>
    <col min="15410" max="15410" width="11.7109375" style="1" customWidth="1"/>
    <col min="15411" max="15411" width="10" style="1" customWidth="1"/>
    <col min="15412" max="15412" width="7.42578125" style="1" customWidth="1"/>
    <col min="15413" max="15413" width="7.140625" style="1" customWidth="1"/>
    <col min="15414" max="15414" width="6.42578125" style="1" customWidth="1"/>
    <col min="15415" max="15645" width="8.7109375" style="1"/>
    <col min="15646" max="15646" width="3.7109375" style="1" customWidth="1"/>
    <col min="15647" max="15647" width="4.28515625" style="1" customWidth="1"/>
    <col min="15648" max="15648" width="11.28515625" style="1" customWidth="1"/>
    <col min="15649" max="15649" width="13.42578125" style="1" customWidth="1"/>
    <col min="15650" max="15652" width="5.42578125" style="1" customWidth="1"/>
    <col min="15653" max="15653" width="8.28515625" style="1" customWidth="1"/>
    <col min="15654" max="15656" width="4.7109375" style="1" customWidth="1"/>
    <col min="15657" max="15657" width="11.7109375" style="1" customWidth="1"/>
    <col min="15658" max="15659" width="7" style="1" customWidth="1"/>
    <col min="15660" max="15660" width="6.42578125" style="1" customWidth="1"/>
    <col min="15661" max="15661" width="15" style="1" customWidth="1"/>
    <col min="15662" max="15662" width="5.28515625" style="1" customWidth="1"/>
    <col min="15663" max="15665" width="4.7109375" style="1" customWidth="1"/>
    <col min="15666" max="15666" width="11.7109375" style="1" customWidth="1"/>
    <col min="15667" max="15667" width="10" style="1" customWidth="1"/>
    <col min="15668" max="15668" width="7.42578125" style="1" customWidth="1"/>
    <col min="15669" max="15669" width="7.140625" style="1" customWidth="1"/>
    <col min="15670" max="15670" width="6.42578125" style="1" customWidth="1"/>
    <col min="15671" max="15901" width="8.7109375" style="1"/>
    <col min="15902" max="15902" width="3.7109375" style="1" customWidth="1"/>
    <col min="15903" max="15903" width="4.28515625" style="1" customWidth="1"/>
    <col min="15904" max="15904" width="11.28515625" style="1" customWidth="1"/>
    <col min="15905" max="15905" width="13.42578125" style="1" customWidth="1"/>
    <col min="15906" max="15908" width="5.42578125" style="1" customWidth="1"/>
    <col min="15909" max="15909" width="8.28515625" style="1" customWidth="1"/>
    <col min="15910" max="15912" width="4.7109375" style="1" customWidth="1"/>
    <col min="15913" max="15913" width="11.7109375" style="1" customWidth="1"/>
    <col min="15914" max="15915" width="7" style="1" customWidth="1"/>
    <col min="15916" max="15916" width="6.42578125" style="1" customWidth="1"/>
    <col min="15917" max="15917" width="15" style="1" customWidth="1"/>
    <col min="15918" max="15918" width="5.28515625" style="1" customWidth="1"/>
    <col min="15919" max="15921" width="4.7109375" style="1" customWidth="1"/>
    <col min="15922" max="15922" width="11.7109375" style="1" customWidth="1"/>
    <col min="15923" max="15923" width="10" style="1" customWidth="1"/>
    <col min="15924" max="15924" width="7.42578125" style="1" customWidth="1"/>
    <col min="15925" max="15925" width="7.140625" style="1" customWidth="1"/>
    <col min="15926" max="15926" width="6.42578125" style="1" customWidth="1"/>
    <col min="15927" max="16157" width="8.7109375" style="1"/>
    <col min="16158" max="16158" width="3.7109375" style="1" customWidth="1"/>
    <col min="16159" max="16159" width="4.28515625" style="1" customWidth="1"/>
    <col min="16160" max="16160" width="11.28515625" style="1" customWidth="1"/>
    <col min="16161" max="16161" width="13.42578125" style="1" customWidth="1"/>
    <col min="16162" max="16164" width="5.42578125" style="1" customWidth="1"/>
    <col min="16165" max="16165" width="8.28515625" style="1" customWidth="1"/>
    <col min="16166" max="16168" width="4.7109375" style="1" customWidth="1"/>
    <col min="16169" max="16169" width="11.7109375" style="1" customWidth="1"/>
    <col min="16170" max="16171" width="7" style="1" customWidth="1"/>
    <col min="16172" max="16172" width="6.42578125" style="1" customWidth="1"/>
    <col min="16173" max="16173" width="15" style="1" customWidth="1"/>
    <col min="16174" max="16174" width="5.28515625" style="1" customWidth="1"/>
    <col min="16175" max="16177" width="4.7109375" style="1" customWidth="1"/>
    <col min="16178" max="16178" width="11.7109375" style="1" customWidth="1"/>
    <col min="16179" max="16179" width="10" style="1" customWidth="1"/>
    <col min="16180" max="16180" width="7.42578125" style="1" customWidth="1"/>
    <col min="16181" max="16181" width="7.140625" style="1" customWidth="1"/>
    <col min="16182" max="16182" width="6.42578125" style="1" customWidth="1"/>
    <col min="16183" max="16384" width="8.7109375" style="1"/>
  </cols>
  <sheetData>
    <row r="1" spans="2:56" x14ac:dyDescent="0.25">
      <c r="B1" s="1" t="s">
        <v>0</v>
      </c>
      <c r="F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BB1" s="2" t="s">
        <v>1</v>
      </c>
    </row>
    <row r="2" spans="2:56" ht="15" customHeight="1" x14ac:dyDescent="0.25">
      <c r="B2" s="1" t="s">
        <v>42</v>
      </c>
      <c r="F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BB2" s="1" t="s">
        <v>2</v>
      </c>
    </row>
    <row r="3" spans="2:56" ht="15" customHeight="1" x14ac:dyDescent="0.25">
      <c r="B3" s="1" t="s">
        <v>95</v>
      </c>
      <c r="F3" s="3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BB3" s="4" t="s">
        <v>3</v>
      </c>
    </row>
    <row r="4" spans="2:56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</row>
    <row r="5" spans="2:56" ht="17.25" customHeight="1" x14ac:dyDescent="0.25">
      <c r="B5" s="44" t="s">
        <v>99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</row>
    <row r="6" spans="2:56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2:56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2:56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2:56" ht="68.2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64" t="s">
        <v>12</v>
      </c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6"/>
      <c r="BC9" s="9" t="s">
        <v>13</v>
      </c>
      <c r="BD9" s="46" t="s">
        <v>14</v>
      </c>
    </row>
    <row r="10" spans="2:56" s="11" customFormat="1" ht="23.25" customHeight="1" x14ac:dyDescent="0.25">
      <c r="B10" s="60"/>
      <c r="C10" s="60"/>
      <c r="D10" s="60"/>
      <c r="E10" s="60"/>
      <c r="F10" s="49" t="s">
        <v>15</v>
      </c>
      <c r="G10" s="51" t="s">
        <v>15</v>
      </c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/>
      <c r="AA10" s="51" t="s">
        <v>15</v>
      </c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3"/>
      <c r="BC10" s="49" t="s">
        <v>16</v>
      </c>
      <c r="BD10" s="47"/>
    </row>
    <row r="11" spans="2:56" s="12" customFormat="1" ht="99" customHeight="1" x14ac:dyDescent="0.25">
      <c r="B11" s="60"/>
      <c r="C11" s="60"/>
      <c r="D11" s="60"/>
      <c r="E11" s="60"/>
      <c r="F11" s="50"/>
      <c r="G11" s="10" t="s">
        <v>143</v>
      </c>
      <c r="H11" s="10" t="s">
        <v>145</v>
      </c>
      <c r="I11" s="10" t="s">
        <v>146</v>
      </c>
      <c r="J11" s="10" t="s">
        <v>147</v>
      </c>
      <c r="K11" s="10" t="s">
        <v>149</v>
      </c>
      <c r="L11" s="10" t="s">
        <v>150</v>
      </c>
      <c r="M11" s="10" t="s">
        <v>151</v>
      </c>
      <c r="N11" s="10" t="s">
        <v>153</v>
      </c>
      <c r="O11" s="10" t="s">
        <v>157</v>
      </c>
      <c r="P11" s="10" t="s">
        <v>165</v>
      </c>
      <c r="Q11" s="10" t="s">
        <v>166</v>
      </c>
      <c r="R11" s="10" t="s">
        <v>167</v>
      </c>
      <c r="S11" s="10" t="s">
        <v>169</v>
      </c>
      <c r="T11" s="10" t="s">
        <v>170</v>
      </c>
      <c r="U11" s="10" t="s">
        <v>171</v>
      </c>
      <c r="V11" s="10" t="s">
        <v>172</v>
      </c>
      <c r="W11" s="10" t="s">
        <v>173</v>
      </c>
      <c r="X11" s="10" t="s">
        <v>185</v>
      </c>
      <c r="Y11" s="10" t="s">
        <v>187</v>
      </c>
      <c r="Z11" s="10" t="s">
        <v>17</v>
      </c>
      <c r="AA11" s="10" t="s">
        <v>144</v>
      </c>
      <c r="AB11" s="10" t="s">
        <v>145</v>
      </c>
      <c r="AC11" s="10" t="s">
        <v>146</v>
      </c>
      <c r="AD11" s="10" t="s">
        <v>147</v>
      </c>
      <c r="AE11" s="10" t="s">
        <v>148</v>
      </c>
      <c r="AF11" s="10" t="s">
        <v>149</v>
      </c>
      <c r="AG11" s="10" t="s">
        <v>150</v>
      </c>
      <c r="AH11" s="10" t="s">
        <v>151</v>
      </c>
      <c r="AI11" s="10" t="s">
        <v>152</v>
      </c>
      <c r="AJ11" s="10" t="s">
        <v>153</v>
      </c>
      <c r="AK11" s="10" t="s">
        <v>154</v>
      </c>
      <c r="AL11" s="10" t="s">
        <v>155</v>
      </c>
      <c r="AM11" s="10" t="s">
        <v>156</v>
      </c>
      <c r="AN11" s="10" t="s">
        <v>157</v>
      </c>
      <c r="AO11" s="10" t="s">
        <v>163</v>
      </c>
      <c r="AP11" s="10" t="s">
        <v>164</v>
      </c>
      <c r="AQ11" s="10" t="s">
        <v>165</v>
      </c>
      <c r="AR11" s="10" t="s">
        <v>166</v>
      </c>
      <c r="AS11" s="10" t="s">
        <v>167</v>
      </c>
      <c r="AT11" s="10" t="s">
        <v>168</v>
      </c>
      <c r="AU11" s="10" t="s">
        <v>169</v>
      </c>
      <c r="AV11" s="10" t="s">
        <v>170</v>
      </c>
      <c r="AW11" s="10" t="s">
        <v>171</v>
      </c>
      <c r="AX11" s="10" t="s">
        <v>172</v>
      </c>
      <c r="AY11" s="10" t="s">
        <v>173</v>
      </c>
      <c r="AZ11" s="10" t="s">
        <v>186</v>
      </c>
      <c r="BA11" s="10" t="s">
        <v>187</v>
      </c>
      <c r="BB11" s="8" t="s">
        <v>18</v>
      </c>
      <c r="BC11" s="50"/>
      <c r="BD11" s="48"/>
    </row>
    <row r="12" spans="2:56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52</v>
      </c>
      <c r="P12" s="14" t="s">
        <v>53</v>
      </c>
      <c r="Q12" s="14" t="s">
        <v>54</v>
      </c>
      <c r="R12" s="14" t="s">
        <v>55</v>
      </c>
      <c r="S12" s="14" t="s">
        <v>89</v>
      </c>
      <c r="T12" s="14" t="s">
        <v>90</v>
      </c>
      <c r="U12" s="14" t="s">
        <v>174</v>
      </c>
      <c r="V12" s="14" t="s">
        <v>175</v>
      </c>
      <c r="W12" s="14" t="s">
        <v>176</v>
      </c>
      <c r="X12" s="14" t="s">
        <v>177</v>
      </c>
      <c r="Y12" s="14" t="s">
        <v>178</v>
      </c>
      <c r="Z12" s="14" t="s">
        <v>26</v>
      </c>
      <c r="AA12" s="14" t="s">
        <v>27</v>
      </c>
      <c r="AB12" s="14" t="s">
        <v>28</v>
      </c>
      <c r="AC12" s="14" t="s">
        <v>56</v>
      </c>
      <c r="AD12" s="14" t="s">
        <v>57</v>
      </c>
      <c r="AE12" s="14" t="s">
        <v>58</v>
      </c>
      <c r="AF12" s="14" t="s">
        <v>59</v>
      </c>
      <c r="AG12" s="14" t="s">
        <v>60</v>
      </c>
      <c r="AH12" s="14" t="s">
        <v>61</v>
      </c>
      <c r="AI12" s="14" t="s">
        <v>62</v>
      </c>
      <c r="AJ12" s="14" t="s">
        <v>63</v>
      </c>
      <c r="AK12" s="14" t="s">
        <v>64</v>
      </c>
      <c r="AL12" s="14" t="s">
        <v>65</v>
      </c>
      <c r="AM12" s="14" t="s">
        <v>66</v>
      </c>
      <c r="AN12" s="14" t="s">
        <v>67</v>
      </c>
      <c r="AO12" s="31" t="s">
        <v>68</v>
      </c>
      <c r="AP12" s="31" t="s">
        <v>158</v>
      </c>
      <c r="AQ12" s="31" t="s">
        <v>159</v>
      </c>
      <c r="AR12" s="31" t="s">
        <v>160</v>
      </c>
      <c r="AS12" s="31" t="s">
        <v>161</v>
      </c>
      <c r="AT12" s="31" t="s">
        <v>162</v>
      </c>
      <c r="AU12" s="31" t="s">
        <v>179</v>
      </c>
      <c r="AV12" s="31" t="s">
        <v>180</v>
      </c>
      <c r="AW12" s="31" t="s">
        <v>181</v>
      </c>
      <c r="AX12" s="31" t="s">
        <v>182</v>
      </c>
      <c r="AY12" s="31" t="s">
        <v>183</v>
      </c>
      <c r="AZ12" s="31" t="s">
        <v>184</v>
      </c>
      <c r="BA12" s="31" t="s">
        <v>188</v>
      </c>
      <c r="BB12" s="14" t="s">
        <v>29</v>
      </c>
      <c r="BC12" s="13" t="s">
        <v>30</v>
      </c>
      <c r="BD12" s="13" t="s">
        <v>31</v>
      </c>
    </row>
    <row r="13" spans="2:56" s="22" customFormat="1" ht="235.5" customHeight="1" x14ac:dyDescent="0.25">
      <c r="B13" s="15">
        <v>1</v>
      </c>
      <c r="C13" s="24" t="s">
        <v>44</v>
      </c>
      <c r="D13" s="16"/>
      <c r="E13" s="16" t="s">
        <v>45</v>
      </c>
      <c r="F13" s="16">
        <f>'T02'!Z13</f>
        <v>1138</v>
      </c>
      <c r="G13" s="23">
        <f>4*3</f>
        <v>12</v>
      </c>
      <c r="H13" s="23">
        <f>4*2+3</f>
        <v>11</v>
      </c>
      <c r="I13" s="3">
        <f>8</f>
        <v>8</v>
      </c>
      <c r="J13" s="23">
        <f>12</f>
        <v>12</v>
      </c>
      <c r="K13" s="23">
        <f>3*3+4*3+3*4+4*2+5+4*2</f>
        <v>54</v>
      </c>
      <c r="L13" s="23">
        <v>3</v>
      </c>
      <c r="M13" s="23">
        <f>4*4</f>
        <v>16</v>
      </c>
      <c r="N13" s="23">
        <v>1</v>
      </c>
      <c r="O13" s="23">
        <f>7*4+4*2</f>
        <v>36</v>
      </c>
      <c r="P13" s="23">
        <f>4*3</f>
        <v>12</v>
      </c>
      <c r="Q13" s="23">
        <f>4+1</f>
        <v>5</v>
      </c>
      <c r="R13" s="23">
        <f>4*6+2*3</f>
        <v>30</v>
      </c>
      <c r="S13" s="23">
        <f>4*2+3</f>
        <v>11</v>
      </c>
      <c r="T13" s="23">
        <f>4+4+4+3</f>
        <v>15</v>
      </c>
      <c r="U13" s="23">
        <f>4*2</f>
        <v>8</v>
      </c>
      <c r="V13" s="23">
        <v>3</v>
      </c>
      <c r="W13" s="23">
        <f>3*5</f>
        <v>15</v>
      </c>
      <c r="X13" s="23">
        <v>4</v>
      </c>
      <c r="Y13" s="23">
        <f>8+8</f>
        <v>16</v>
      </c>
      <c r="Z13" s="25">
        <f>SUM(G13:Y13)</f>
        <v>272</v>
      </c>
      <c r="AA13" s="16">
        <f>4*3+2+1+2</f>
        <v>17</v>
      </c>
      <c r="AB13" s="16">
        <f>8+6*4</f>
        <v>32</v>
      </c>
      <c r="AC13" s="16">
        <f>2+4*4+3*3</f>
        <v>27</v>
      </c>
      <c r="AD13" s="23">
        <f>11</f>
        <v>11</v>
      </c>
      <c r="AE13" s="16">
        <f>5</f>
        <v>5</v>
      </c>
      <c r="AF13" s="16">
        <f>4</f>
        <v>4</v>
      </c>
      <c r="AG13" s="16">
        <f>3+4+3+4*7+3*2+3</f>
        <v>47</v>
      </c>
      <c r="AH13" s="16">
        <v>8</v>
      </c>
      <c r="AI13" s="16">
        <f>4*7</f>
        <v>28</v>
      </c>
      <c r="AJ13" s="16">
        <v>1</v>
      </c>
      <c r="AK13" s="16">
        <v>4</v>
      </c>
      <c r="AL13" s="16">
        <f>3+4</f>
        <v>7</v>
      </c>
      <c r="AM13" s="16">
        <f>4+4+3</f>
        <v>11</v>
      </c>
      <c r="AN13" s="16">
        <f>4*4+3*2</f>
        <v>22</v>
      </c>
      <c r="AO13" s="23">
        <f>4*3</f>
        <v>12</v>
      </c>
      <c r="AP13" s="23">
        <f>3+4+2</f>
        <v>9</v>
      </c>
      <c r="AQ13" s="23">
        <f>4*3</f>
        <v>12</v>
      </c>
      <c r="AR13" s="23">
        <f>3+4*2+1</f>
        <v>12</v>
      </c>
      <c r="AS13" s="23">
        <f>4*2+3*3</f>
        <v>17</v>
      </c>
      <c r="AT13" s="23">
        <f>4*2</f>
        <v>8</v>
      </c>
      <c r="AU13" s="23">
        <f>4+3+3</f>
        <v>10</v>
      </c>
      <c r="AV13" s="23">
        <f>3*4+7</f>
        <v>19</v>
      </c>
      <c r="AW13" s="23">
        <f>4*5+9+6</f>
        <v>35</v>
      </c>
      <c r="AX13" s="23">
        <v>3</v>
      </c>
      <c r="AY13" s="23">
        <f>7+4*3</f>
        <v>19</v>
      </c>
      <c r="AZ13" s="23">
        <v>7</v>
      </c>
      <c r="BA13" s="23">
        <v>7</v>
      </c>
      <c r="BB13" s="25">
        <f>SUM(AA13:BA13)</f>
        <v>394</v>
      </c>
      <c r="BC13" s="25">
        <f>F13+Z13-BB13</f>
        <v>1016</v>
      </c>
      <c r="BD13" s="23" t="s">
        <v>190</v>
      </c>
    </row>
    <row r="14" spans="2:56" ht="24" customHeight="1" x14ac:dyDescent="0.25">
      <c r="B14" s="15" t="s">
        <v>32</v>
      </c>
      <c r="C14" s="15"/>
      <c r="D14" s="15"/>
      <c r="E14" s="15"/>
      <c r="F14" s="8">
        <f>F13</f>
        <v>1138</v>
      </c>
      <c r="G14" s="8">
        <f t="shared" ref="G14:BC14" si="0">G13</f>
        <v>12</v>
      </c>
      <c r="H14" s="8">
        <f>4*2+3</f>
        <v>11</v>
      </c>
      <c r="I14" s="8">
        <f>H13</f>
        <v>11</v>
      </c>
      <c r="J14" s="8">
        <f t="shared" si="0"/>
        <v>12</v>
      </c>
      <c r="K14" s="8">
        <f t="shared" si="0"/>
        <v>54</v>
      </c>
      <c r="L14" s="8">
        <f t="shared" si="0"/>
        <v>3</v>
      </c>
      <c r="M14" s="8">
        <f t="shared" si="0"/>
        <v>16</v>
      </c>
      <c r="N14" s="8">
        <f t="shared" si="0"/>
        <v>1</v>
      </c>
      <c r="O14" s="8">
        <f t="shared" si="0"/>
        <v>36</v>
      </c>
      <c r="P14" s="8">
        <f t="shared" si="0"/>
        <v>12</v>
      </c>
      <c r="Q14" s="8">
        <f t="shared" si="0"/>
        <v>5</v>
      </c>
      <c r="R14" s="8">
        <f t="shared" si="0"/>
        <v>30</v>
      </c>
      <c r="S14" s="8">
        <f t="shared" si="0"/>
        <v>11</v>
      </c>
      <c r="T14" s="8">
        <f t="shared" si="0"/>
        <v>15</v>
      </c>
      <c r="U14" s="8">
        <f t="shared" si="0"/>
        <v>8</v>
      </c>
      <c r="V14" s="8">
        <f t="shared" si="0"/>
        <v>3</v>
      </c>
      <c r="W14" s="8">
        <f t="shared" si="0"/>
        <v>15</v>
      </c>
      <c r="X14" s="8">
        <f t="shared" si="0"/>
        <v>4</v>
      </c>
      <c r="Y14" s="8">
        <f t="shared" si="0"/>
        <v>16</v>
      </c>
      <c r="Z14" s="8">
        <f t="shared" si="0"/>
        <v>272</v>
      </c>
      <c r="AA14" s="8">
        <f t="shared" si="0"/>
        <v>17</v>
      </c>
      <c r="AB14" s="8">
        <f t="shared" si="0"/>
        <v>32</v>
      </c>
      <c r="AC14" s="8">
        <f t="shared" si="0"/>
        <v>27</v>
      </c>
      <c r="AD14" s="8">
        <f t="shared" si="0"/>
        <v>11</v>
      </c>
      <c r="AE14" s="8">
        <f t="shared" si="0"/>
        <v>5</v>
      </c>
      <c r="AF14" s="8">
        <f t="shared" si="0"/>
        <v>4</v>
      </c>
      <c r="AG14" s="8">
        <f t="shared" si="0"/>
        <v>47</v>
      </c>
      <c r="AH14" s="8">
        <f t="shared" si="0"/>
        <v>8</v>
      </c>
      <c r="AI14" s="8">
        <f t="shared" si="0"/>
        <v>28</v>
      </c>
      <c r="AJ14" s="8">
        <f t="shared" si="0"/>
        <v>1</v>
      </c>
      <c r="AK14" s="8">
        <f t="shared" si="0"/>
        <v>4</v>
      </c>
      <c r="AL14" s="8">
        <f t="shared" si="0"/>
        <v>7</v>
      </c>
      <c r="AM14" s="8">
        <f t="shared" si="0"/>
        <v>11</v>
      </c>
      <c r="AN14" s="8">
        <f t="shared" si="0"/>
        <v>22</v>
      </c>
      <c r="AO14" s="8">
        <f t="shared" si="0"/>
        <v>12</v>
      </c>
      <c r="AP14" s="8">
        <f t="shared" si="0"/>
        <v>9</v>
      </c>
      <c r="AQ14" s="8">
        <f t="shared" si="0"/>
        <v>12</v>
      </c>
      <c r="AR14" s="8">
        <f t="shared" si="0"/>
        <v>12</v>
      </c>
      <c r="AS14" s="8">
        <f t="shared" si="0"/>
        <v>17</v>
      </c>
      <c r="AT14" s="8">
        <f t="shared" si="0"/>
        <v>8</v>
      </c>
      <c r="AU14" s="8">
        <f t="shared" si="0"/>
        <v>10</v>
      </c>
      <c r="AV14" s="8">
        <f t="shared" si="0"/>
        <v>19</v>
      </c>
      <c r="AW14" s="8">
        <f t="shared" si="0"/>
        <v>35</v>
      </c>
      <c r="AX14" s="8">
        <f t="shared" si="0"/>
        <v>3</v>
      </c>
      <c r="AY14" s="8">
        <f t="shared" si="0"/>
        <v>19</v>
      </c>
      <c r="AZ14" s="8">
        <f t="shared" si="0"/>
        <v>7</v>
      </c>
      <c r="BA14" s="8">
        <f t="shared" si="0"/>
        <v>7</v>
      </c>
      <c r="BB14" s="8">
        <f t="shared" si="0"/>
        <v>394</v>
      </c>
      <c r="BC14" s="8">
        <f t="shared" si="0"/>
        <v>1016</v>
      </c>
      <c r="BD14" s="27"/>
    </row>
    <row r="15" spans="2:56" ht="24" customHeight="1" x14ac:dyDescent="0.25">
      <c r="B15" s="17"/>
      <c r="C15" s="17"/>
      <c r="D15" s="17"/>
      <c r="E15" s="17"/>
      <c r="F15" s="18" t="s">
        <v>96</v>
      </c>
      <c r="AI15" s="5"/>
      <c r="AJ15" s="5"/>
      <c r="AK15" s="5"/>
      <c r="AL15" s="5"/>
      <c r="AM15" s="5"/>
      <c r="AN15" s="5"/>
      <c r="AO15" s="57" t="s">
        <v>33</v>
      </c>
      <c r="AP15" s="57"/>
      <c r="AQ15" s="57"/>
      <c r="AR15" s="57"/>
      <c r="AS15" s="57"/>
      <c r="AT15" s="57"/>
      <c r="AU15" s="57"/>
      <c r="AV15" s="57"/>
      <c r="AW15" s="57"/>
      <c r="AX15" s="19"/>
      <c r="AY15" s="19"/>
      <c r="AZ15" s="19"/>
      <c r="BA15" s="19"/>
      <c r="BB15" s="19"/>
    </row>
    <row r="16" spans="2:56" ht="24" customHeight="1" x14ac:dyDescent="0.25">
      <c r="B16" s="17"/>
      <c r="C16" s="17"/>
      <c r="D16" s="17"/>
      <c r="E16" s="17"/>
      <c r="F16" s="18"/>
      <c r="AI16" s="5"/>
      <c r="AJ16" s="5"/>
      <c r="AK16" s="5"/>
      <c r="AL16" s="5"/>
      <c r="AM16" s="5"/>
      <c r="AN16" s="5"/>
      <c r="AO16" s="44"/>
      <c r="AP16" s="44"/>
      <c r="AQ16" s="44"/>
      <c r="AR16" s="44"/>
      <c r="AS16" s="44"/>
      <c r="AT16" s="44"/>
      <c r="AU16" s="44"/>
      <c r="AV16" s="44"/>
      <c r="AW16" s="44"/>
      <c r="AX16" s="19"/>
      <c r="AY16" s="19"/>
      <c r="AZ16" s="19"/>
      <c r="BA16" s="19"/>
      <c r="BB16" s="19"/>
    </row>
    <row r="17" spans="2:55" ht="24" customHeight="1" x14ac:dyDescent="0.25">
      <c r="B17" s="17"/>
      <c r="C17" s="17"/>
      <c r="D17" s="17"/>
      <c r="E17" s="17"/>
      <c r="AO17" s="3"/>
      <c r="AP17" s="3"/>
      <c r="AQ17" s="3"/>
      <c r="AR17" s="3"/>
      <c r="AS17" s="3"/>
      <c r="AT17" s="3"/>
      <c r="AU17" s="3"/>
      <c r="AV17" s="3"/>
      <c r="AW17" s="3"/>
    </row>
    <row r="18" spans="2:55" ht="24" customHeight="1" x14ac:dyDescent="0.25">
      <c r="B18" s="17"/>
      <c r="C18" s="17"/>
      <c r="D18" s="17"/>
      <c r="E18" s="17"/>
      <c r="AO18" s="3"/>
      <c r="AP18" s="3"/>
      <c r="AQ18" s="3"/>
      <c r="AR18" s="3"/>
      <c r="AS18" s="3"/>
      <c r="AT18" s="3"/>
      <c r="AU18" s="3"/>
      <c r="AV18" s="3"/>
      <c r="AW18" s="3"/>
    </row>
    <row r="19" spans="2:55" ht="24" customHeight="1" x14ac:dyDescent="0.25">
      <c r="B19" s="17"/>
      <c r="C19" s="17"/>
      <c r="D19" s="17"/>
      <c r="E19" s="19" t="s">
        <v>94</v>
      </c>
      <c r="AO19" s="3"/>
      <c r="AP19" s="3"/>
      <c r="AQ19" s="3"/>
      <c r="AR19" s="3"/>
      <c r="AS19" s="3"/>
      <c r="AT19" s="3"/>
      <c r="AU19" s="3"/>
      <c r="AV19" s="3"/>
      <c r="AW19" s="3"/>
    </row>
    <row r="20" spans="2:55" ht="24" customHeight="1" x14ac:dyDescent="0.3">
      <c r="B20" s="17"/>
      <c r="C20" s="17"/>
      <c r="D20" s="17"/>
      <c r="E20" s="17"/>
      <c r="F20" s="21"/>
      <c r="AO20" s="45" t="s">
        <v>92</v>
      </c>
      <c r="AP20" s="45"/>
      <c r="AQ20" s="45"/>
      <c r="AR20" s="45"/>
      <c r="AS20" s="45"/>
      <c r="AT20" s="45"/>
      <c r="AU20" s="45"/>
      <c r="AV20" s="45"/>
      <c r="AW20" s="45"/>
    </row>
    <row r="21" spans="2:55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2:55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</row>
    <row r="23" spans="2:55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</row>
    <row r="24" spans="2:55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</row>
    <row r="25" spans="2:55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</row>
    <row r="26" spans="2:55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</row>
    <row r="27" spans="2:55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</row>
    <row r="28" spans="2:55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</row>
  </sheetData>
  <mergeCells count="23">
    <mergeCell ref="AO15:AW15"/>
    <mergeCell ref="B4:BC4"/>
    <mergeCell ref="B5:BC5"/>
    <mergeCell ref="B9:B11"/>
    <mergeCell ref="C9:C11"/>
    <mergeCell ref="D9:D11"/>
    <mergeCell ref="E9:E11"/>
    <mergeCell ref="G9:Z9"/>
    <mergeCell ref="AA9:BB9"/>
    <mergeCell ref="BD9:BD11"/>
    <mergeCell ref="F10:F11"/>
    <mergeCell ref="BC10:BC11"/>
    <mergeCell ref="AA10:BB10"/>
    <mergeCell ref="G10:Z10"/>
    <mergeCell ref="B26:AO26"/>
    <mergeCell ref="B27:AO27"/>
    <mergeCell ref="B28:BB28"/>
    <mergeCell ref="AO16:AW16"/>
    <mergeCell ref="AO20:AW20"/>
    <mergeCell ref="B22:BC22"/>
    <mergeCell ref="B23:BC23"/>
    <mergeCell ref="B24:BC24"/>
    <mergeCell ref="B25:BC25"/>
  </mergeCells>
  <phoneticPr fontId="12" type="noConversion"/>
  <printOptions horizontalCentered="1"/>
  <pageMargins left="0.23622047244094491" right="0.31496062992125984" top="0.43307086614173229" bottom="0.47244094488188981" header="0.23622047244094491" footer="0.19685039370078741"/>
  <pageSetup paperSize="9" scale="3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39D8-B909-4A0C-95B6-3EEAF21AF1A5}">
  <sheetPr codeName="Sheet4">
    <pageSetUpPr fitToPage="1"/>
  </sheetPr>
  <dimension ref="B1:AR28"/>
  <sheetViews>
    <sheetView topLeftCell="A4" zoomScale="66" zoomScaleNormal="66" workbookViewId="0">
      <selection activeCell="W17" sqref="W17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7.7109375" style="1" customWidth="1"/>
    <col min="4" max="4" width="16.28515625" style="1" customWidth="1"/>
    <col min="5" max="5" width="13.42578125" style="1" customWidth="1"/>
    <col min="6" max="6" width="16.7109375" style="1" customWidth="1"/>
    <col min="7" max="15" width="7" style="3" bestFit="1" customWidth="1"/>
    <col min="16" max="20" width="7.7109375" style="3" bestFit="1" customWidth="1"/>
    <col min="21" max="22" width="7" style="3" bestFit="1" customWidth="1"/>
    <col min="23" max="23" width="10.7109375" style="3" customWidth="1"/>
    <col min="24" max="31" width="7" style="3" bestFit="1" customWidth="1"/>
    <col min="32" max="38" width="7.7109375" style="3" bestFit="1" customWidth="1"/>
    <col min="39" max="40" width="7" style="1" bestFit="1" customWidth="1"/>
    <col min="41" max="41" width="7" style="1" customWidth="1"/>
    <col min="42" max="42" width="17.140625" style="1" customWidth="1"/>
    <col min="43" max="43" width="21" style="1" customWidth="1"/>
    <col min="44" max="44" width="20.7109375" style="1" customWidth="1"/>
    <col min="45" max="273" width="8.7109375" style="1"/>
    <col min="274" max="274" width="3.7109375" style="1" customWidth="1"/>
    <col min="275" max="275" width="4.28515625" style="1" customWidth="1"/>
    <col min="276" max="276" width="11.28515625" style="1" customWidth="1"/>
    <col min="277" max="277" width="13.42578125" style="1" customWidth="1"/>
    <col min="278" max="280" width="5.42578125" style="1" customWidth="1"/>
    <col min="281" max="281" width="8.28515625" style="1" customWidth="1"/>
    <col min="282" max="284" width="4.7109375" style="1" customWidth="1"/>
    <col min="285" max="285" width="11.7109375" style="1" customWidth="1"/>
    <col min="286" max="287" width="7" style="1" customWidth="1"/>
    <col min="288" max="288" width="6.42578125" style="1" customWidth="1"/>
    <col min="289" max="289" width="15" style="1" customWidth="1"/>
    <col min="290" max="290" width="5.28515625" style="1" customWidth="1"/>
    <col min="291" max="293" width="4.7109375" style="1" customWidth="1"/>
    <col min="294" max="294" width="11.7109375" style="1" customWidth="1"/>
    <col min="295" max="295" width="10" style="1" customWidth="1"/>
    <col min="296" max="296" width="7.42578125" style="1" customWidth="1"/>
    <col min="297" max="297" width="7.140625" style="1" customWidth="1"/>
    <col min="298" max="298" width="6.42578125" style="1" customWidth="1"/>
    <col min="299" max="529" width="8.7109375" style="1"/>
    <col min="530" max="530" width="3.7109375" style="1" customWidth="1"/>
    <col min="531" max="531" width="4.28515625" style="1" customWidth="1"/>
    <col min="532" max="532" width="11.28515625" style="1" customWidth="1"/>
    <col min="533" max="533" width="13.42578125" style="1" customWidth="1"/>
    <col min="534" max="536" width="5.42578125" style="1" customWidth="1"/>
    <col min="537" max="537" width="8.28515625" style="1" customWidth="1"/>
    <col min="538" max="540" width="4.7109375" style="1" customWidth="1"/>
    <col min="541" max="541" width="11.7109375" style="1" customWidth="1"/>
    <col min="542" max="543" width="7" style="1" customWidth="1"/>
    <col min="544" max="544" width="6.42578125" style="1" customWidth="1"/>
    <col min="545" max="545" width="15" style="1" customWidth="1"/>
    <col min="546" max="546" width="5.28515625" style="1" customWidth="1"/>
    <col min="547" max="549" width="4.7109375" style="1" customWidth="1"/>
    <col min="550" max="550" width="11.7109375" style="1" customWidth="1"/>
    <col min="551" max="551" width="10" style="1" customWidth="1"/>
    <col min="552" max="552" width="7.42578125" style="1" customWidth="1"/>
    <col min="553" max="553" width="7.140625" style="1" customWidth="1"/>
    <col min="554" max="554" width="6.42578125" style="1" customWidth="1"/>
    <col min="555" max="785" width="8.7109375" style="1"/>
    <col min="786" max="786" width="3.7109375" style="1" customWidth="1"/>
    <col min="787" max="787" width="4.28515625" style="1" customWidth="1"/>
    <col min="788" max="788" width="11.28515625" style="1" customWidth="1"/>
    <col min="789" max="789" width="13.42578125" style="1" customWidth="1"/>
    <col min="790" max="792" width="5.42578125" style="1" customWidth="1"/>
    <col min="793" max="793" width="8.28515625" style="1" customWidth="1"/>
    <col min="794" max="796" width="4.7109375" style="1" customWidth="1"/>
    <col min="797" max="797" width="11.7109375" style="1" customWidth="1"/>
    <col min="798" max="799" width="7" style="1" customWidth="1"/>
    <col min="800" max="800" width="6.42578125" style="1" customWidth="1"/>
    <col min="801" max="801" width="15" style="1" customWidth="1"/>
    <col min="802" max="802" width="5.28515625" style="1" customWidth="1"/>
    <col min="803" max="805" width="4.7109375" style="1" customWidth="1"/>
    <col min="806" max="806" width="11.7109375" style="1" customWidth="1"/>
    <col min="807" max="807" width="10" style="1" customWidth="1"/>
    <col min="808" max="808" width="7.42578125" style="1" customWidth="1"/>
    <col min="809" max="809" width="7.140625" style="1" customWidth="1"/>
    <col min="810" max="810" width="6.42578125" style="1" customWidth="1"/>
    <col min="811" max="1041" width="8.7109375" style="1"/>
    <col min="1042" max="1042" width="3.7109375" style="1" customWidth="1"/>
    <col min="1043" max="1043" width="4.28515625" style="1" customWidth="1"/>
    <col min="1044" max="1044" width="11.28515625" style="1" customWidth="1"/>
    <col min="1045" max="1045" width="13.42578125" style="1" customWidth="1"/>
    <col min="1046" max="1048" width="5.42578125" style="1" customWidth="1"/>
    <col min="1049" max="1049" width="8.28515625" style="1" customWidth="1"/>
    <col min="1050" max="1052" width="4.7109375" style="1" customWidth="1"/>
    <col min="1053" max="1053" width="11.7109375" style="1" customWidth="1"/>
    <col min="1054" max="1055" width="7" style="1" customWidth="1"/>
    <col min="1056" max="1056" width="6.42578125" style="1" customWidth="1"/>
    <col min="1057" max="1057" width="15" style="1" customWidth="1"/>
    <col min="1058" max="1058" width="5.28515625" style="1" customWidth="1"/>
    <col min="1059" max="1061" width="4.7109375" style="1" customWidth="1"/>
    <col min="1062" max="1062" width="11.7109375" style="1" customWidth="1"/>
    <col min="1063" max="1063" width="10" style="1" customWidth="1"/>
    <col min="1064" max="1064" width="7.42578125" style="1" customWidth="1"/>
    <col min="1065" max="1065" width="7.140625" style="1" customWidth="1"/>
    <col min="1066" max="1066" width="6.42578125" style="1" customWidth="1"/>
    <col min="1067" max="1297" width="8.7109375" style="1"/>
    <col min="1298" max="1298" width="3.7109375" style="1" customWidth="1"/>
    <col min="1299" max="1299" width="4.28515625" style="1" customWidth="1"/>
    <col min="1300" max="1300" width="11.28515625" style="1" customWidth="1"/>
    <col min="1301" max="1301" width="13.42578125" style="1" customWidth="1"/>
    <col min="1302" max="1304" width="5.42578125" style="1" customWidth="1"/>
    <col min="1305" max="1305" width="8.28515625" style="1" customWidth="1"/>
    <col min="1306" max="1308" width="4.7109375" style="1" customWidth="1"/>
    <col min="1309" max="1309" width="11.7109375" style="1" customWidth="1"/>
    <col min="1310" max="1311" width="7" style="1" customWidth="1"/>
    <col min="1312" max="1312" width="6.42578125" style="1" customWidth="1"/>
    <col min="1313" max="1313" width="15" style="1" customWidth="1"/>
    <col min="1314" max="1314" width="5.28515625" style="1" customWidth="1"/>
    <col min="1315" max="1317" width="4.7109375" style="1" customWidth="1"/>
    <col min="1318" max="1318" width="11.7109375" style="1" customWidth="1"/>
    <col min="1319" max="1319" width="10" style="1" customWidth="1"/>
    <col min="1320" max="1320" width="7.42578125" style="1" customWidth="1"/>
    <col min="1321" max="1321" width="7.140625" style="1" customWidth="1"/>
    <col min="1322" max="1322" width="6.42578125" style="1" customWidth="1"/>
    <col min="1323" max="1553" width="8.7109375" style="1"/>
    <col min="1554" max="1554" width="3.7109375" style="1" customWidth="1"/>
    <col min="1555" max="1555" width="4.28515625" style="1" customWidth="1"/>
    <col min="1556" max="1556" width="11.28515625" style="1" customWidth="1"/>
    <col min="1557" max="1557" width="13.42578125" style="1" customWidth="1"/>
    <col min="1558" max="1560" width="5.42578125" style="1" customWidth="1"/>
    <col min="1561" max="1561" width="8.28515625" style="1" customWidth="1"/>
    <col min="1562" max="1564" width="4.7109375" style="1" customWidth="1"/>
    <col min="1565" max="1565" width="11.7109375" style="1" customWidth="1"/>
    <col min="1566" max="1567" width="7" style="1" customWidth="1"/>
    <col min="1568" max="1568" width="6.42578125" style="1" customWidth="1"/>
    <col min="1569" max="1569" width="15" style="1" customWidth="1"/>
    <col min="1570" max="1570" width="5.28515625" style="1" customWidth="1"/>
    <col min="1571" max="1573" width="4.7109375" style="1" customWidth="1"/>
    <col min="1574" max="1574" width="11.7109375" style="1" customWidth="1"/>
    <col min="1575" max="1575" width="10" style="1" customWidth="1"/>
    <col min="1576" max="1576" width="7.42578125" style="1" customWidth="1"/>
    <col min="1577" max="1577" width="7.140625" style="1" customWidth="1"/>
    <col min="1578" max="1578" width="6.42578125" style="1" customWidth="1"/>
    <col min="1579" max="1809" width="8.7109375" style="1"/>
    <col min="1810" max="1810" width="3.7109375" style="1" customWidth="1"/>
    <col min="1811" max="1811" width="4.28515625" style="1" customWidth="1"/>
    <col min="1812" max="1812" width="11.28515625" style="1" customWidth="1"/>
    <col min="1813" max="1813" width="13.42578125" style="1" customWidth="1"/>
    <col min="1814" max="1816" width="5.42578125" style="1" customWidth="1"/>
    <col min="1817" max="1817" width="8.28515625" style="1" customWidth="1"/>
    <col min="1818" max="1820" width="4.7109375" style="1" customWidth="1"/>
    <col min="1821" max="1821" width="11.7109375" style="1" customWidth="1"/>
    <col min="1822" max="1823" width="7" style="1" customWidth="1"/>
    <col min="1824" max="1824" width="6.42578125" style="1" customWidth="1"/>
    <col min="1825" max="1825" width="15" style="1" customWidth="1"/>
    <col min="1826" max="1826" width="5.28515625" style="1" customWidth="1"/>
    <col min="1827" max="1829" width="4.7109375" style="1" customWidth="1"/>
    <col min="1830" max="1830" width="11.7109375" style="1" customWidth="1"/>
    <col min="1831" max="1831" width="10" style="1" customWidth="1"/>
    <col min="1832" max="1832" width="7.42578125" style="1" customWidth="1"/>
    <col min="1833" max="1833" width="7.140625" style="1" customWidth="1"/>
    <col min="1834" max="1834" width="6.42578125" style="1" customWidth="1"/>
    <col min="1835" max="2065" width="8.7109375" style="1"/>
    <col min="2066" max="2066" width="3.7109375" style="1" customWidth="1"/>
    <col min="2067" max="2067" width="4.28515625" style="1" customWidth="1"/>
    <col min="2068" max="2068" width="11.28515625" style="1" customWidth="1"/>
    <col min="2069" max="2069" width="13.42578125" style="1" customWidth="1"/>
    <col min="2070" max="2072" width="5.42578125" style="1" customWidth="1"/>
    <col min="2073" max="2073" width="8.28515625" style="1" customWidth="1"/>
    <col min="2074" max="2076" width="4.7109375" style="1" customWidth="1"/>
    <col min="2077" max="2077" width="11.7109375" style="1" customWidth="1"/>
    <col min="2078" max="2079" width="7" style="1" customWidth="1"/>
    <col min="2080" max="2080" width="6.42578125" style="1" customWidth="1"/>
    <col min="2081" max="2081" width="15" style="1" customWidth="1"/>
    <col min="2082" max="2082" width="5.28515625" style="1" customWidth="1"/>
    <col min="2083" max="2085" width="4.7109375" style="1" customWidth="1"/>
    <col min="2086" max="2086" width="11.7109375" style="1" customWidth="1"/>
    <col min="2087" max="2087" width="10" style="1" customWidth="1"/>
    <col min="2088" max="2088" width="7.42578125" style="1" customWidth="1"/>
    <col min="2089" max="2089" width="7.140625" style="1" customWidth="1"/>
    <col min="2090" max="2090" width="6.42578125" style="1" customWidth="1"/>
    <col min="2091" max="2321" width="8.7109375" style="1"/>
    <col min="2322" max="2322" width="3.7109375" style="1" customWidth="1"/>
    <col min="2323" max="2323" width="4.28515625" style="1" customWidth="1"/>
    <col min="2324" max="2324" width="11.28515625" style="1" customWidth="1"/>
    <col min="2325" max="2325" width="13.42578125" style="1" customWidth="1"/>
    <col min="2326" max="2328" width="5.42578125" style="1" customWidth="1"/>
    <col min="2329" max="2329" width="8.28515625" style="1" customWidth="1"/>
    <col min="2330" max="2332" width="4.7109375" style="1" customWidth="1"/>
    <col min="2333" max="2333" width="11.7109375" style="1" customWidth="1"/>
    <col min="2334" max="2335" width="7" style="1" customWidth="1"/>
    <col min="2336" max="2336" width="6.42578125" style="1" customWidth="1"/>
    <col min="2337" max="2337" width="15" style="1" customWidth="1"/>
    <col min="2338" max="2338" width="5.28515625" style="1" customWidth="1"/>
    <col min="2339" max="2341" width="4.7109375" style="1" customWidth="1"/>
    <col min="2342" max="2342" width="11.7109375" style="1" customWidth="1"/>
    <col min="2343" max="2343" width="10" style="1" customWidth="1"/>
    <col min="2344" max="2344" width="7.42578125" style="1" customWidth="1"/>
    <col min="2345" max="2345" width="7.140625" style="1" customWidth="1"/>
    <col min="2346" max="2346" width="6.42578125" style="1" customWidth="1"/>
    <col min="2347" max="2577" width="8.7109375" style="1"/>
    <col min="2578" max="2578" width="3.7109375" style="1" customWidth="1"/>
    <col min="2579" max="2579" width="4.28515625" style="1" customWidth="1"/>
    <col min="2580" max="2580" width="11.28515625" style="1" customWidth="1"/>
    <col min="2581" max="2581" width="13.42578125" style="1" customWidth="1"/>
    <col min="2582" max="2584" width="5.42578125" style="1" customWidth="1"/>
    <col min="2585" max="2585" width="8.28515625" style="1" customWidth="1"/>
    <col min="2586" max="2588" width="4.7109375" style="1" customWidth="1"/>
    <col min="2589" max="2589" width="11.7109375" style="1" customWidth="1"/>
    <col min="2590" max="2591" width="7" style="1" customWidth="1"/>
    <col min="2592" max="2592" width="6.42578125" style="1" customWidth="1"/>
    <col min="2593" max="2593" width="15" style="1" customWidth="1"/>
    <col min="2594" max="2594" width="5.28515625" style="1" customWidth="1"/>
    <col min="2595" max="2597" width="4.7109375" style="1" customWidth="1"/>
    <col min="2598" max="2598" width="11.7109375" style="1" customWidth="1"/>
    <col min="2599" max="2599" width="10" style="1" customWidth="1"/>
    <col min="2600" max="2600" width="7.42578125" style="1" customWidth="1"/>
    <col min="2601" max="2601" width="7.140625" style="1" customWidth="1"/>
    <col min="2602" max="2602" width="6.42578125" style="1" customWidth="1"/>
    <col min="2603" max="2833" width="8.7109375" style="1"/>
    <col min="2834" max="2834" width="3.7109375" style="1" customWidth="1"/>
    <col min="2835" max="2835" width="4.28515625" style="1" customWidth="1"/>
    <col min="2836" max="2836" width="11.28515625" style="1" customWidth="1"/>
    <col min="2837" max="2837" width="13.42578125" style="1" customWidth="1"/>
    <col min="2838" max="2840" width="5.42578125" style="1" customWidth="1"/>
    <col min="2841" max="2841" width="8.28515625" style="1" customWidth="1"/>
    <col min="2842" max="2844" width="4.7109375" style="1" customWidth="1"/>
    <col min="2845" max="2845" width="11.7109375" style="1" customWidth="1"/>
    <col min="2846" max="2847" width="7" style="1" customWidth="1"/>
    <col min="2848" max="2848" width="6.42578125" style="1" customWidth="1"/>
    <col min="2849" max="2849" width="15" style="1" customWidth="1"/>
    <col min="2850" max="2850" width="5.28515625" style="1" customWidth="1"/>
    <col min="2851" max="2853" width="4.7109375" style="1" customWidth="1"/>
    <col min="2854" max="2854" width="11.7109375" style="1" customWidth="1"/>
    <col min="2855" max="2855" width="10" style="1" customWidth="1"/>
    <col min="2856" max="2856" width="7.42578125" style="1" customWidth="1"/>
    <col min="2857" max="2857" width="7.140625" style="1" customWidth="1"/>
    <col min="2858" max="2858" width="6.42578125" style="1" customWidth="1"/>
    <col min="2859" max="3089" width="8.7109375" style="1"/>
    <col min="3090" max="3090" width="3.7109375" style="1" customWidth="1"/>
    <col min="3091" max="3091" width="4.28515625" style="1" customWidth="1"/>
    <col min="3092" max="3092" width="11.28515625" style="1" customWidth="1"/>
    <col min="3093" max="3093" width="13.42578125" style="1" customWidth="1"/>
    <col min="3094" max="3096" width="5.42578125" style="1" customWidth="1"/>
    <col min="3097" max="3097" width="8.28515625" style="1" customWidth="1"/>
    <col min="3098" max="3100" width="4.7109375" style="1" customWidth="1"/>
    <col min="3101" max="3101" width="11.7109375" style="1" customWidth="1"/>
    <col min="3102" max="3103" width="7" style="1" customWidth="1"/>
    <col min="3104" max="3104" width="6.42578125" style="1" customWidth="1"/>
    <col min="3105" max="3105" width="15" style="1" customWidth="1"/>
    <col min="3106" max="3106" width="5.28515625" style="1" customWidth="1"/>
    <col min="3107" max="3109" width="4.7109375" style="1" customWidth="1"/>
    <col min="3110" max="3110" width="11.7109375" style="1" customWidth="1"/>
    <col min="3111" max="3111" width="10" style="1" customWidth="1"/>
    <col min="3112" max="3112" width="7.42578125" style="1" customWidth="1"/>
    <col min="3113" max="3113" width="7.140625" style="1" customWidth="1"/>
    <col min="3114" max="3114" width="6.42578125" style="1" customWidth="1"/>
    <col min="3115" max="3345" width="8.7109375" style="1"/>
    <col min="3346" max="3346" width="3.7109375" style="1" customWidth="1"/>
    <col min="3347" max="3347" width="4.28515625" style="1" customWidth="1"/>
    <col min="3348" max="3348" width="11.28515625" style="1" customWidth="1"/>
    <col min="3349" max="3349" width="13.42578125" style="1" customWidth="1"/>
    <col min="3350" max="3352" width="5.42578125" style="1" customWidth="1"/>
    <col min="3353" max="3353" width="8.28515625" style="1" customWidth="1"/>
    <col min="3354" max="3356" width="4.7109375" style="1" customWidth="1"/>
    <col min="3357" max="3357" width="11.7109375" style="1" customWidth="1"/>
    <col min="3358" max="3359" width="7" style="1" customWidth="1"/>
    <col min="3360" max="3360" width="6.42578125" style="1" customWidth="1"/>
    <col min="3361" max="3361" width="15" style="1" customWidth="1"/>
    <col min="3362" max="3362" width="5.28515625" style="1" customWidth="1"/>
    <col min="3363" max="3365" width="4.7109375" style="1" customWidth="1"/>
    <col min="3366" max="3366" width="11.7109375" style="1" customWidth="1"/>
    <col min="3367" max="3367" width="10" style="1" customWidth="1"/>
    <col min="3368" max="3368" width="7.42578125" style="1" customWidth="1"/>
    <col min="3369" max="3369" width="7.140625" style="1" customWidth="1"/>
    <col min="3370" max="3370" width="6.42578125" style="1" customWidth="1"/>
    <col min="3371" max="3601" width="8.7109375" style="1"/>
    <col min="3602" max="3602" width="3.7109375" style="1" customWidth="1"/>
    <col min="3603" max="3603" width="4.28515625" style="1" customWidth="1"/>
    <col min="3604" max="3604" width="11.28515625" style="1" customWidth="1"/>
    <col min="3605" max="3605" width="13.42578125" style="1" customWidth="1"/>
    <col min="3606" max="3608" width="5.42578125" style="1" customWidth="1"/>
    <col min="3609" max="3609" width="8.28515625" style="1" customWidth="1"/>
    <col min="3610" max="3612" width="4.7109375" style="1" customWidth="1"/>
    <col min="3613" max="3613" width="11.7109375" style="1" customWidth="1"/>
    <col min="3614" max="3615" width="7" style="1" customWidth="1"/>
    <col min="3616" max="3616" width="6.42578125" style="1" customWidth="1"/>
    <col min="3617" max="3617" width="15" style="1" customWidth="1"/>
    <col min="3618" max="3618" width="5.28515625" style="1" customWidth="1"/>
    <col min="3619" max="3621" width="4.7109375" style="1" customWidth="1"/>
    <col min="3622" max="3622" width="11.7109375" style="1" customWidth="1"/>
    <col min="3623" max="3623" width="10" style="1" customWidth="1"/>
    <col min="3624" max="3624" width="7.42578125" style="1" customWidth="1"/>
    <col min="3625" max="3625" width="7.140625" style="1" customWidth="1"/>
    <col min="3626" max="3626" width="6.42578125" style="1" customWidth="1"/>
    <col min="3627" max="3857" width="8.7109375" style="1"/>
    <col min="3858" max="3858" width="3.7109375" style="1" customWidth="1"/>
    <col min="3859" max="3859" width="4.28515625" style="1" customWidth="1"/>
    <col min="3860" max="3860" width="11.28515625" style="1" customWidth="1"/>
    <col min="3861" max="3861" width="13.42578125" style="1" customWidth="1"/>
    <col min="3862" max="3864" width="5.42578125" style="1" customWidth="1"/>
    <col min="3865" max="3865" width="8.28515625" style="1" customWidth="1"/>
    <col min="3866" max="3868" width="4.7109375" style="1" customWidth="1"/>
    <col min="3869" max="3869" width="11.7109375" style="1" customWidth="1"/>
    <col min="3870" max="3871" width="7" style="1" customWidth="1"/>
    <col min="3872" max="3872" width="6.42578125" style="1" customWidth="1"/>
    <col min="3873" max="3873" width="15" style="1" customWidth="1"/>
    <col min="3874" max="3874" width="5.28515625" style="1" customWidth="1"/>
    <col min="3875" max="3877" width="4.7109375" style="1" customWidth="1"/>
    <col min="3878" max="3878" width="11.7109375" style="1" customWidth="1"/>
    <col min="3879" max="3879" width="10" style="1" customWidth="1"/>
    <col min="3880" max="3880" width="7.42578125" style="1" customWidth="1"/>
    <col min="3881" max="3881" width="7.140625" style="1" customWidth="1"/>
    <col min="3882" max="3882" width="6.42578125" style="1" customWidth="1"/>
    <col min="3883" max="4113" width="8.7109375" style="1"/>
    <col min="4114" max="4114" width="3.7109375" style="1" customWidth="1"/>
    <col min="4115" max="4115" width="4.28515625" style="1" customWidth="1"/>
    <col min="4116" max="4116" width="11.28515625" style="1" customWidth="1"/>
    <col min="4117" max="4117" width="13.42578125" style="1" customWidth="1"/>
    <col min="4118" max="4120" width="5.42578125" style="1" customWidth="1"/>
    <col min="4121" max="4121" width="8.28515625" style="1" customWidth="1"/>
    <col min="4122" max="4124" width="4.7109375" style="1" customWidth="1"/>
    <col min="4125" max="4125" width="11.7109375" style="1" customWidth="1"/>
    <col min="4126" max="4127" width="7" style="1" customWidth="1"/>
    <col min="4128" max="4128" width="6.42578125" style="1" customWidth="1"/>
    <col min="4129" max="4129" width="15" style="1" customWidth="1"/>
    <col min="4130" max="4130" width="5.28515625" style="1" customWidth="1"/>
    <col min="4131" max="4133" width="4.7109375" style="1" customWidth="1"/>
    <col min="4134" max="4134" width="11.7109375" style="1" customWidth="1"/>
    <col min="4135" max="4135" width="10" style="1" customWidth="1"/>
    <col min="4136" max="4136" width="7.42578125" style="1" customWidth="1"/>
    <col min="4137" max="4137" width="7.140625" style="1" customWidth="1"/>
    <col min="4138" max="4138" width="6.42578125" style="1" customWidth="1"/>
    <col min="4139" max="4369" width="8.7109375" style="1"/>
    <col min="4370" max="4370" width="3.7109375" style="1" customWidth="1"/>
    <col min="4371" max="4371" width="4.28515625" style="1" customWidth="1"/>
    <col min="4372" max="4372" width="11.28515625" style="1" customWidth="1"/>
    <col min="4373" max="4373" width="13.42578125" style="1" customWidth="1"/>
    <col min="4374" max="4376" width="5.42578125" style="1" customWidth="1"/>
    <col min="4377" max="4377" width="8.28515625" style="1" customWidth="1"/>
    <col min="4378" max="4380" width="4.7109375" style="1" customWidth="1"/>
    <col min="4381" max="4381" width="11.7109375" style="1" customWidth="1"/>
    <col min="4382" max="4383" width="7" style="1" customWidth="1"/>
    <col min="4384" max="4384" width="6.42578125" style="1" customWidth="1"/>
    <col min="4385" max="4385" width="15" style="1" customWidth="1"/>
    <col min="4386" max="4386" width="5.28515625" style="1" customWidth="1"/>
    <col min="4387" max="4389" width="4.7109375" style="1" customWidth="1"/>
    <col min="4390" max="4390" width="11.7109375" style="1" customWidth="1"/>
    <col min="4391" max="4391" width="10" style="1" customWidth="1"/>
    <col min="4392" max="4392" width="7.42578125" style="1" customWidth="1"/>
    <col min="4393" max="4393" width="7.140625" style="1" customWidth="1"/>
    <col min="4394" max="4394" width="6.42578125" style="1" customWidth="1"/>
    <col min="4395" max="4625" width="8.7109375" style="1"/>
    <col min="4626" max="4626" width="3.7109375" style="1" customWidth="1"/>
    <col min="4627" max="4627" width="4.28515625" style="1" customWidth="1"/>
    <col min="4628" max="4628" width="11.28515625" style="1" customWidth="1"/>
    <col min="4629" max="4629" width="13.42578125" style="1" customWidth="1"/>
    <col min="4630" max="4632" width="5.42578125" style="1" customWidth="1"/>
    <col min="4633" max="4633" width="8.28515625" style="1" customWidth="1"/>
    <col min="4634" max="4636" width="4.7109375" style="1" customWidth="1"/>
    <col min="4637" max="4637" width="11.7109375" style="1" customWidth="1"/>
    <col min="4638" max="4639" width="7" style="1" customWidth="1"/>
    <col min="4640" max="4640" width="6.42578125" style="1" customWidth="1"/>
    <col min="4641" max="4641" width="15" style="1" customWidth="1"/>
    <col min="4642" max="4642" width="5.28515625" style="1" customWidth="1"/>
    <col min="4643" max="4645" width="4.7109375" style="1" customWidth="1"/>
    <col min="4646" max="4646" width="11.7109375" style="1" customWidth="1"/>
    <col min="4647" max="4647" width="10" style="1" customWidth="1"/>
    <col min="4648" max="4648" width="7.42578125" style="1" customWidth="1"/>
    <col min="4649" max="4649" width="7.140625" style="1" customWidth="1"/>
    <col min="4650" max="4650" width="6.42578125" style="1" customWidth="1"/>
    <col min="4651" max="4881" width="8.7109375" style="1"/>
    <col min="4882" max="4882" width="3.7109375" style="1" customWidth="1"/>
    <col min="4883" max="4883" width="4.28515625" style="1" customWidth="1"/>
    <col min="4884" max="4884" width="11.28515625" style="1" customWidth="1"/>
    <col min="4885" max="4885" width="13.42578125" style="1" customWidth="1"/>
    <col min="4886" max="4888" width="5.42578125" style="1" customWidth="1"/>
    <col min="4889" max="4889" width="8.28515625" style="1" customWidth="1"/>
    <col min="4890" max="4892" width="4.7109375" style="1" customWidth="1"/>
    <col min="4893" max="4893" width="11.7109375" style="1" customWidth="1"/>
    <col min="4894" max="4895" width="7" style="1" customWidth="1"/>
    <col min="4896" max="4896" width="6.42578125" style="1" customWidth="1"/>
    <col min="4897" max="4897" width="15" style="1" customWidth="1"/>
    <col min="4898" max="4898" width="5.28515625" style="1" customWidth="1"/>
    <col min="4899" max="4901" width="4.7109375" style="1" customWidth="1"/>
    <col min="4902" max="4902" width="11.7109375" style="1" customWidth="1"/>
    <col min="4903" max="4903" width="10" style="1" customWidth="1"/>
    <col min="4904" max="4904" width="7.42578125" style="1" customWidth="1"/>
    <col min="4905" max="4905" width="7.140625" style="1" customWidth="1"/>
    <col min="4906" max="4906" width="6.42578125" style="1" customWidth="1"/>
    <col min="4907" max="5137" width="8.7109375" style="1"/>
    <col min="5138" max="5138" width="3.7109375" style="1" customWidth="1"/>
    <col min="5139" max="5139" width="4.28515625" style="1" customWidth="1"/>
    <col min="5140" max="5140" width="11.28515625" style="1" customWidth="1"/>
    <col min="5141" max="5141" width="13.42578125" style="1" customWidth="1"/>
    <col min="5142" max="5144" width="5.42578125" style="1" customWidth="1"/>
    <col min="5145" max="5145" width="8.28515625" style="1" customWidth="1"/>
    <col min="5146" max="5148" width="4.7109375" style="1" customWidth="1"/>
    <col min="5149" max="5149" width="11.7109375" style="1" customWidth="1"/>
    <col min="5150" max="5151" width="7" style="1" customWidth="1"/>
    <col min="5152" max="5152" width="6.42578125" style="1" customWidth="1"/>
    <col min="5153" max="5153" width="15" style="1" customWidth="1"/>
    <col min="5154" max="5154" width="5.28515625" style="1" customWidth="1"/>
    <col min="5155" max="5157" width="4.7109375" style="1" customWidth="1"/>
    <col min="5158" max="5158" width="11.7109375" style="1" customWidth="1"/>
    <col min="5159" max="5159" width="10" style="1" customWidth="1"/>
    <col min="5160" max="5160" width="7.42578125" style="1" customWidth="1"/>
    <col min="5161" max="5161" width="7.140625" style="1" customWidth="1"/>
    <col min="5162" max="5162" width="6.42578125" style="1" customWidth="1"/>
    <col min="5163" max="5393" width="8.7109375" style="1"/>
    <col min="5394" max="5394" width="3.7109375" style="1" customWidth="1"/>
    <col min="5395" max="5395" width="4.28515625" style="1" customWidth="1"/>
    <col min="5396" max="5396" width="11.28515625" style="1" customWidth="1"/>
    <col min="5397" max="5397" width="13.42578125" style="1" customWidth="1"/>
    <col min="5398" max="5400" width="5.42578125" style="1" customWidth="1"/>
    <col min="5401" max="5401" width="8.28515625" style="1" customWidth="1"/>
    <col min="5402" max="5404" width="4.7109375" style="1" customWidth="1"/>
    <col min="5405" max="5405" width="11.7109375" style="1" customWidth="1"/>
    <col min="5406" max="5407" width="7" style="1" customWidth="1"/>
    <col min="5408" max="5408" width="6.42578125" style="1" customWidth="1"/>
    <col min="5409" max="5409" width="15" style="1" customWidth="1"/>
    <col min="5410" max="5410" width="5.28515625" style="1" customWidth="1"/>
    <col min="5411" max="5413" width="4.7109375" style="1" customWidth="1"/>
    <col min="5414" max="5414" width="11.7109375" style="1" customWidth="1"/>
    <col min="5415" max="5415" width="10" style="1" customWidth="1"/>
    <col min="5416" max="5416" width="7.42578125" style="1" customWidth="1"/>
    <col min="5417" max="5417" width="7.140625" style="1" customWidth="1"/>
    <col min="5418" max="5418" width="6.42578125" style="1" customWidth="1"/>
    <col min="5419" max="5649" width="8.7109375" style="1"/>
    <col min="5650" max="5650" width="3.7109375" style="1" customWidth="1"/>
    <col min="5651" max="5651" width="4.28515625" style="1" customWidth="1"/>
    <col min="5652" max="5652" width="11.28515625" style="1" customWidth="1"/>
    <col min="5653" max="5653" width="13.42578125" style="1" customWidth="1"/>
    <col min="5654" max="5656" width="5.42578125" style="1" customWidth="1"/>
    <col min="5657" max="5657" width="8.28515625" style="1" customWidth="1"/>
    <col min="5658" max="5660" width="4.7109375" style="1" customWidth="1"/>
    <col min="5661" max="5661" width="11.7109375" style="1" customWidth="1"/>
    <col min="5662" max="5663" width="7" style="1" customWidth="1"/>
    <col min="5664" max="5664" width="6.42578125" style="1" customWidth="1"/>
    <col min="5665" max="5665" width="15" style="1" customWidth="1"/>
    <col min="5666" max="5666" width="5.28515625" style="1" customWidth="1"/>
    <col min="5667" max="5669" width="4.7109375" style="1" customWidth="1"/>
    <col min="5670" max="5670" width="11.7109375" style="1" customWidth="1"/>
    <col min="5671" max="5671" width="10" style="1" customWidth="1"/>
    <col min="5672" max="5672" width="7.42578125" style="1" customWidth="1"/>
    <col min="5673" max="5673" width="7.140625" style="1" customWidth="1"/>
    <col min="5674" max="5674" width="6.42578125" style="1" customWidth="1"/>
    <col min="5675" max="5905" width="8.7109375" style="1"/>
    <col min="5906" max="5906" width="3.7109375" style="1" customWidth="1"/>
    <col min="5907" max="5907" width="4.28515625" style="1" customWidth="1"/>
    <col min="5908" max="5908" width="11.28515625" style="1" customWidth="1"/>
    <col min="5909" max="5909" width="13.42578125" style="1" customWidth="1"/>
    <col min="5910" max="5912" width="5.42578125" style="1" customWidth="1"/>
    <col min="5913" max="5913" width="8.28515625" style="1" customWidth="1"/>
    <col min="5914" max="5916" width="4.7109375" style="1" customWidth="1"/>
    <col min="5917" max="5917" width="11.7109375" style="1" customWidth="1"/>
    <col min="5918" max="5919" width="7" style="1" customWidth="1"/>
    <col min="5920" max="5920" width="6.42578125" style="1" customWidth="1"/>
    <col min="5921" max="5921" width="15" style="1" customWidth="1"/>
    <col min="5922" max="5922" width="5.28515625" style="1" customWidth="1"/>
    <col min="5923" max="5925" width="4.7109375" style="1" customWidth="1"/>
    <col min="5926" max="5926" width="11.7109375" style="1" customWidth="1"/>
    <col min="5927" max="5927" width="10" style="1" customWidth="1"/>
    <col min="5928" max="5928" width="7.42578125" style="1" customWidth="1"/>
    <col min="5929" max="5929" width="7.140625" style="1" customWidth="1"/>
    <col min="5930" max="5930" width="6.42578125" style="1" customWidth="1"/>
    <col min="5931" max="6161" width="8.7109375" style="1"/>
    <col min="6162" max="6162" width="3.7109375" style="1" customWidth="1"/>
    <col min="6163" max="6163" width="4.28515625" style="1" customWidth="1"/>
    <col min="6164" max="6164" width="11.28515625" style="1" customWidth="1"/>
    <col min="6165" max="6165" width="13.42578125" style="1" customWidth="1"/>
    <col min="6166" max="6168" width="5.42578125" style="1" customWidth="1"/>
    <col min="6169" max="6169" width="8.28515625" style="1" customWidth="1"/>
    <col min="6170" max="6172" width="4.7109375" style="1" customWidth="1"/>
    <col min="6173" max="6173" width="11.7109375" style="1" customWidth="1"/>
    <col min="6174" max="6175" width="7" style="1" customWidth="1"/>
    <col min="6176" max="6176" width="6.42578125" style="1" customWidth="1"/>
    <col min="6177" max="6177" width="15" style="1" customWidth="1"/>
    <col min="6178" max="6178" width="5.28515625" style="1" customWidth="1"/>
    <col min="6179" max="6181" width="4.7109375" style="1" customWidth="1"/>
    <col min="6182" max="6182" width="11.7109375" style="1" customWidth="1"/>
    <col min="6183" max="6183" width="10" style="1" customWidth="1"/>
    <col min="6184" max="6184" width="7.42578125" style="1" customWidth="1"/>
    <col min="6185" max="6185" width="7.140625" style="1" customWidth="1"/>
    <col min="6186" max="6186" width="6.42578125" style="1" customWidth="1"/>
    <col min="6187" max="6417" width="8.7109375" style="1"/>
    <col min="6418" max="6418" width="3.7109375" style="1" customWidth="1"/>
    <col min="6419" max="6419" width="4.28515625" style="1" customWidth="1"/>
    <col min="6420" max="6420" width="11.28515625" style="1" customWidth="1"/>
    <col min="6421" max="6421" width="13.42578125" style="1" customWidth="1"/>
    <col min="6422" max="6424" width="5.42578125" style="1" customWidth="1"/>
    <col min="6425" max="6425" width="8.28515625" style="1" customWidth="1"/>
    <col min="6426" max="6428" width="4.7109375" style="1" customWidth="1"/>
    <col min="6429" max="6429" width="11.7109375" style="1" customWidth="1"/>
    <col min="6430" max="6431" width="7" style="1" customWidth="1"/>
    <col min="6432" max="6432" width="6.42578125" style="1" customWidth="1"/>
    <col min="6433" max="6433" width="15" style="1" customWidth="1"/>
    <col min="6434" max="6434" width="5.28515625" style="1" customWidth="1"/>
    <col min="6435" max="6437" width="4.7109375" style="1" customWidth="1"/>
    <col min="6438" max="6438" width="11.7109375" style="1" customWidth="1"/>
    <col min="6439" max="6439" width="10" style="1" customWidth="1"/>
    <col min="6440" max="6440" width="7.42578125" style="1" customWidth="1"/>
    <col min="6441" max="6441" width="7.140625" style="1" customWidth="1"/>
    <col min="6442" max="6442" width="6.42578125" style="1" customWidth="1"/>
    <col min="6443" max="6673" width="8.7109375" style="1"/>
    <col min="6674" max="6674" width="3.7109375" style="1" customWidth="1"/>
    <col min="6675" max="6675" width="4.28515625" style="1" customWidth="1"/>
    <col min="6676" max="6676" width="11.28515625" style="1" customWidth="1"/>
    <col min="6677" max="6677" width="13.42578125" style="1" customWidth="1"/>
    <col min="6678" max="6680" width="5.42578125" style="1" customWidth="1"/>
    <col min="6681" max="6681" width="8.28515625" style="1" customWidth="1"/>
    <col min="6682" max="6684" width="4.7109375" style="1" customWidth="1"/>
    <col min="6685" max="6685" width="11.7109375" style="1" customWidth="1"/>
    <col min="6686" max="6687" width="7" style="1" customWidth="1"/>
    <col min="6688" max="6688" width="6.42578125" style="1" customWidth="1"/>
    <col min="6689" max="6689" width="15" style="1" customWidth="1"/>
    <col min="6690" max="6690" width="5.28515625" style="1" customWidth="1"/>
    <col min="6691" max="6693" width="4.7109375" style="1" customWidth="1"/>
    <col min="6694" max="6694" width="11.7109375" style="1" customWidth="1"/>
    <col min="6695" max="6695" width="10" style="1" customWidth="1"/>
    <col min="6696" max="6696" width="7.42578125" style="1" customWidth="1"/>
    <col min="6697" max="6697" width="7.140625" style="1" customWidth="1"/>
    <col min="6698" max="6698" width="6.42578125" style="1" customWidth="1"/>
    <col min="6699" max="6929" width="8.7109375" style="1"/>
    <col min="6930" max="6930" width="3.7109375" style="1" customWidth="1"/>
    <col min="6931" max="6931" width="4.28515625" style="1" customWidth="1"/>
    <col min="6932" max="6932" width="11.28515625" style="1" customWidth="1"/>
    <col min="6933" max="6933" width="13.42578125" style="1" customWidth="1"/>
    <col min="6934" max="6936" width="5.42578125" style="1" customWidth="1"/>
    <col min="6937" max="6937" width="8.28515625" style="1" customWidth="1"/>
    <col min="6938" max="6940" width="4.7109375" style="1" customWidth="1"/>
    <col min="6941" max="6941" width="11.7109375" style="1" customWidth="1"/>
    <col min="6942" max="6943" width="7" style="1" customWidth="1"/>
    <col min="6944" max="6944" width="6.42578125" style="1" customWidth="1"/>
    <col min="6945" max="6945" width="15" style="1" customWidth="1"/>
    <col min="6946" max="6946" width="5.28515625" style="1" customWidth="1"/>
    <col min="6947" max="6949" width="4.7109375" style="1" customWidth="1"/>
    <col min="6950" max="6950" width="11.7109375" style="1" customWidth="1"/>
    <col min="6951" max="6951" width="10" style="1" customWidth="1"/>
    <col min="6952" max="6952" width="7.42578125" style="1" customWidth="1"/>
    <col min="6953" max="6953" width="7.140625" style="1" customWidth="1"/>
    <col min="6954" max="6954" width="6.42578125" style="1" customWidth="1"/>
    <col min="6955" max="7185" width="8.7109375" style="1"/>
    <col min="7186" max="7186" width="3.7109375" style="1" customWidth="1"/>
    <col min="7187" max="7187" width="4.28515625" style="1" customWidth="1"/>
    <col min="7188" max="7188" width="11.28515625" style="1" customWidth="1"/>
    <col min="7189" max="7189" width="13.42578125" style="1" customWidth="1"/>
    <col min="7190" max="7192" width="5.42578125" style="1" customWidth="1"/>
    <col min="7193" max="7193" width="8.28515625" style="1" customWidth="1"/>
    <col min="7194" max="7196" width="4.7109375" style="1" customWidth="1"/>
    <col min="7197" max="7197" width="11.7109375" style="1" customWidth="1"/>
    <col min="7198" max="7199" width="7" style="1" customWidth="1"/>
    <col min="7200" max="7200" width="6.42578125" style="1" customWidth="1"/>
    <col min="7201" max="7201" width="15" style="1" customWidth="1"/>
    <col min="7202" max="7202" width="5.28515625" style="1" customWidth="1"/>
    <col min="7203" max="7205" width="4.7109375" style="1" customWidth="1"/>
    <col min="7206" max="7206" width="11.7109375" style="1" customWidth="1"/>
    <col min="7207" max="7207" width="10" style="1" customWidth="1"/>
    <col min="7208" max="7208" width="7.42578125" style="1" customWidth="1"/>
    <col min="7209" max="7209" width="7.140625" style="1" customWidth="1"/>
    <col min="7210" max="7210" width="6.42578125" style="1" customWidth="1"/>
    <col min="7211" max="7441" width="8.7109375" style="1"/>
    <col min="7442" max="7442" width="3.7109375" style="1" customWidth="1"/>
    <col min="7443" max="7443" width="4.28515625" style="1" customWidth="1"/>
    <col min="7444" max="7444" width="11.28515625" style="1" customWidth="1"/>
    <col min="7445" max="7445" width="13.42578125" style="1" customWidth="1"/>
    <col min="7446" max="7448" width="5.42578125" style="1" customWidth="1"/>
    <col min="7449" max="7449" width="8.28515625" style="1" customWidth="1"/>
    <col min="7450" max="7452" width="4.7109375" style="1" customWidth="1"/>
    <col min="7453" max="7453" width="11.7109375" style="1" customWidth="1"/>
    <col min="7454" max="7455" width="7" style="1" customWidth="1"/>
    <col min="7456" max="7456" width="6.42578125" style="1" customWidth="1"/>
    <col min="7457" max="7457" width="15" style="1" customWidth="1"/>
    <col min="7458" max="7458" width="5.28515625" style="1" customWidth="1"/>
    <col min="7459" max="7461" width="4.7109375" style="1" customWidth="1"/>
    <col min="7462" max="7462" width="11.7109375" style="1" customWidth="1"/>
    <col min="7463" max="7463" width="10" style="1" customWidth="1"/>
    <col min="7464" max="7464" width="7.42578125" style="1" customWidth="1"/>
    <col min="7465" max="7465" width="7.140625" style="1" customWidth="1"/>
    <col min="7466" max="7466" width="6.42578125" style="1" customWidth="1"/>
    <col min="7467" max="7697" width="8.7109375" style="1"/>
    <col min="7698" max="7698" width="3.7109375" style="1" customWidth="1"/>
    <col min="7699" max="7699" width="4.28515625" style="1" customWidth="1"/>
    <col min="7700" max="7700" width="11.28515625" style="1" customWidth="1"/>
    <col min="7701" max="7701" width="13.42578125" style="1" customWidth="1"/>
    <col min="7702" max="7704" width="5.42578125" style="1" customWidth="1"/>
    <col min="7705" max="7705" width="8.28515625" style="1" customWidth="1"/>
    <col min="7706" max="7708" width="4.7109375" style="1" customWidth="1"/>
    <col min="7709" max="7709" width="11.7109375" style="1" customWidth="1"/>
    <col min="7710" max="7711" width="7" style="1" customWidth="1"/>
    <col min="7712" max="7712" width="6.42578125" style="1" customWidth="1"/>
    <col min="7713" max="7713" width="15" style="1" customWidth="1"/>
    <col min="7714" max="7714" width="5.28515625" style="1" customWidth="1"/>
    <col min="7715" max="7717" width="4.7109375" style="1" customWidth="1"/>
    <col min="7718" max="7718" width="11.7109375" style="1" customWidth="1"/>
    <col min="7719" max="7719" width="10" style="1" customWidth="1"/>
    <col min="7720" max="7720" width="7.42578125" style="1" customWidth="1"/>
    <col min="7721" max="7721" width="7.140625" style="1" customWidth="1"/>
    <col min="7722" max="7722" width="6.42578125" style="1" customWidth="1"/>
    <col min="7723" max="7953" width="8.7109375" style="1"/>
    <col min="7954" max="7954" width="3.7109375" style="1" customWidth="1"/>
    <col min="7955" max="7955" width="4.28515625" style="1" customWidth="1"/>
    <col min="7956" max="7956" width="11.28515625" style="1" customWidth="1"/>
    <col min="7957" max="7957" width="13.42578125" style="1" customWidth="1"/>
    <col min="7958" max="7960" width="5.42578125" style="1" customWidth="1"/>
    <col min="7961" max="7961" width="8.28515625" style="1" customWidth="1"/>
    <col min="7962" max="7964" width="4.7109375" style="1" customWidth="1"/>
    <col min="7965" max="7965" width="11.7109375" style="1" customWidth="1"/>
    <col min="7966" max="7967" width="7" style="1" customWidth="1"/>
    <col min="7968" max="7968" width="6.42578125" style="1" customWidth="1"/>
    <col min="7969" max="7969" width="15" style="1" customWidth="1"/>
    <col min="7970" max="7970" width="5.28515625" style="1" customWidth="1"/>
    <col min="7971" max="7973" width="4.7109375" style="1" customWidth="1"/>
    <col min="7974" max="7974" width="11.7109375" style="1" customWidth="1"/>
    <col min="7975" max="7975" width="10" style="1" customWidth="1"/>
    <col min="7976" max="7976" width="7.42578125" style="1" customWidth="1"/>
    <col min="7977" max="7977" width="7.140625" style="1" customWidth="1"/>
    <col min="7978" max="7978" width="6.42578125" style="1" customWidth="1"/>
    <col min="7979" max="8209" width="8.7109375" style="1"/>
    <col min="8210" max="8210" width="3.7109375" style="1" customWidth="1"/>
    <col min="8211" max="8211" width="4.28515625" style="1" customWidth="1"/>
    <col min="8212" max="8212" width="11.28515625" style="1" customWidth="1"/>
    <col min="8213" max="8213" width="13.42578125" style="1" customWidth="1"/>
    <col min="8214" max="8216" width="5.42578125" style="1" customWidth="1"/>
    <col min="8217" max="8217" width="8.28515625" style="1" customWidth="1"/>
    <col min="8218" max="8220" width="4.7109375" style="1" customWidth="1"/>
    <col min="8221" max="8221" width="11.7109375" style="1" customWidth="1"/>
    <col min="8222" max="8223" width="7" style="1" customWidth="1"/>
    <col min="8224" max="8224" width="6.42578125" style="1" customWidth="1"/>
    <col min="8225" max="8225" width="15" style="1" customWidth="1"/>
    <col min="8226" max="8226" width="5.28515625" style="1" customWidth="1"/>
    <col min="8227" max="8229" width="4.7109375" style="1" customWidth="1"/>
    <col min="8230" max="8230" width="11.7109375" style="1" customWidth="1"/>
    <col min="8231" max="8231" width="10" style="1" customWidth="1"/>
    <col min="8232" max="8232" width="7.42578125" style="1" customWidth="1"/>
    <col min="8233" max="8233" width="7.140625" style="1" customWidth="1"/>
    <col min="8234" max="8234" width="6.42578125" style="1" customWidth="1"/>
    <col min="8235" max="8465" width="8.7109375" style="1"/>
    <col min="8466" max="8466" width="3.7109375" style="1" customWidth="1"/>
    <col min="8467" max="8467" width="4.28515625" style="1" customWidth="1"/>
    <col min="8468" max="8468" width="11.28515625" style="1" customWidth="1"/>
    <col min="8469" max="8469" width="13.42578125" style="1" customWidth="1"/>
    <col min="8470" max="8472" width="5.42578125" style="1" customWidth="1"/>
    <col min="8473" max="8473" width="8.28515625" style="1" customWidth="1"/>
    <col min="8474" max="8476" width="4.7109375" style="1" customWidth="1"/>
    <col min="8477" max="8477" width="11.7109375" style="1" customWidth="1"/>
    <col min="8478" max="8479" width="7" style="1" customWidth="1"/>
    <col min="8480" max="8480" width="6.42578125" style="1" customWidth="1"/>
    <col min="8481" max="8481" width="15" style="1" customWidth="1"/>
    <col min="8482" max="8482" width="5.28515625" style="1" customWidth="1"/>
    <col min="8483" max="8485" width="4.7109375" style="1" customWidth="1"/>
    <col min="8486" max="8486" width="11.7109375" style="1" customWidth="1"/>
    <col min="8487" max="8487" width="10" style="1" customWidth="1"/>
    <col min="8488" max="8488" width="7.42578125" style="1" customWidth="1"/>
    <col min="8489" max="8489" width="7.140625" style="1" customWidth="1"/>
    <col min="8490" max="8490" width="6.42578125" style="1" customWidth="1"/>
    <col min="8491" max="8721" width="8.7109375" style="1"/>
    <col min="8722" max="8722" width="3.7109375" style="1" customWidth="1"/>
    <col min="8723" max="8723" width="4.28515625" style="1" customWidth="1"/>
    <col min="8724" max="8724" width="11.28515625" style="1" customWidth="1"/>
    <col min="8725" max="8725" width="13.42578125" style="1" customWidth="1"/>
    <col min="8726" max="8728" width="5.42578125" style="1" customWidth="1"/>
    <col min="8729" max="8729" width="8.28515625" style="1" customWidth="1"/>
    <col min="8730" max="8732" width="4.7109375" style="1" customWidth="1"/>
    <col min="8733" max="8733" width="11.7109375" style="1" customWidth="1"/>
    <col min="8734" max="8735" width="7" style="1" customWidth="1"/>
    <col min="8736" max="8736" width="6.42578125" style="1" customWidth="1"/>
    <col min="8737" max="8737" width="15" style="1" customWidth="1"/>
    <col min="8738" max="8738" width="5.28515625" style="1" customWidth="1"/>
    <col min="8739" max="8741" width="4.7109375" style="1" customWidth="1"/>
    <col min="8742" max="8742" width="11.7109375" style="1" customWidth="1"/>
    <col min="8743" max="8743" width="10" style="1" customWidth="1"/>
    <col min="8744" max="8744" width="7.42578125" style="1" customWidth="1"/>
    <col min="8745" max="8745" width="7.140625" style="1" customWidth="1"/>
    <col min="8746" max="8746" width="6.42578125" style="1" customWidth="1"/>
    <col min="8747" max="8977" width="8.7109375" style="1"/>
    <col min="8978" max="8978" width="3.7109375" style="1" customWidth="1"/>
    <col min="8979" max="8979" width="4.28515625" style="1" customWidth="1"/>
    <col min="8980" max="8980" width="11.28515625" style="1" customWidth="1"/>
    <col min="8981" max="8981" width="13.42578125" style="1" customWidth="1"/>
    <col min="8982" max="8984" width="5.42578125" style="1" customWidth="1"/>
    <col min="8985" max="8985" width="8.28515625" style="1" customWidth="1"/>
    <col min="8986" max="8988" width="4.7109375" style="1" customWidth="1"/>
    <col min="8989" max="8989" width="11.7109375" style="1" customWidth="1"/>
    <col min="8990" max="8991" width="7" style="1" customWidth="1"/>
    <col min="8992" max="8992" width="6.42578125" style="1" customWidth="1"/>
    <col min="8993" max="8993" width="15" style="1" customWidth="1"/>
    <col min="8994" max="8994" width="5.28515625" style="1" customWidth="1"/>
    <col min="8995" max="8997" width="4.7109375" style="1" customWidth="1"/>
    <col min="8998" max="8998" width="11.7109375" style="1" customWidth="1"/>
    <col min="8999" max="8999" width="10" style="1" customWidth="1"/>
    <col min="9000" max="9000" width="7.42578125" style="1" customWidth="1"/>
    <col min="9001" max="9001" width="7.140625" style="1" customWidth="1"/>
    <col min="9002" max="9002" width="6.42578125" style="1" customWidth="1"/>
    <col min="9003" max="9233" width="8.7109375" style="1"/>
    <col min="9234" max="9234" width="3.7109375" style="1" customWidth="1"/>
    <col min="9235" max="9235" width="4.28515625" style="1" customWidth="1"/>
    <col min="9236" max="9236" width="11.28515625" style="1" customWidth="1"/>
    <col min="9237" max="9237" width="13.42578125" style="1" customWidth="1"/>
    <col min="9238" max="9240" width="5.42578125" style="1" customWidth="1"/>
    <col min="9241" max="9241" width="8.28515625" style="1" customWidth="1"/>
    <col min="9242" max="9244" width="4.7109375" style="1" customWidth="1"/>
    <col min="9245" max="9245" width="11.7109375" style="1" customWidth="1"/>
    <col min="9246" max="9247" width="7" style="1" customWidth="1"/>
    <col min="9248" max="9248" width="6.42578125" style="1" customWidth="1"/>
    <col min="9249" max="9249" width="15" style="1" customWidth="1"/>
    <col min="9250" max="9250" width="5.28515625" style="1" customWidth="1"/>
    <col min="9251" max="9253" width="4.7109375" style="1" customWidth="1"/>
    <col min="9254" max="9254" width="11.7109375" style="1" customWidth="1"/>
    <col min="9255" max="9255" width="10" style="1" customWidth="1"/>
    <col min="9256" max="9256" width="7.42578125" style="1" customWidth="1"/>
    <col min="9257" max="9257" width="7.140625" style="1" customWidth="1"/>
    <col min="9258" max="9258" width="6.42578125" style="1" customWidth="1"/>
    <col min="9259" max="9489" width="8.7109375" style="1"/>
    <col min="9490" max="9490" width="3.7109375" style="1" customWidth="1"/>
    <col min="9491" max="9491" width="4.28515625" style="1" customWidth="1"/>
    <col min="9492" max="9492" width="11.28515625" style="1" customWidth="1"/>
    <col min="9493" max="9493" width="13.42578125" style="1" customWidth="1"/>
    <col min="9494" max="9496" width="5.42578125" style="1" customWidth="1"/>
    <col min="9497" max="9497" width="8.28515625" style="1" customWidth="1"/>
    <col min="9498" max="9500" width="4.7109375" style="1" customWidth="1"/>
    <col min="9501" max="9501" width="11.7109375" style="1" customWidth="1"/>
    <col min="9502" max="9503" width="7" style="1" customWidth="1"/>
    <col min="9504" max="9504" width="6.42578125" style="1" customWidth="1"/>
    <col min="9505" max="9505" width="15" style="1" customWidth="1"/>
    <col min="9506" max="9506" width="5.28515625" style="1" customWidth="1"/>
    <col min="9507" max="9509" width="4.7109375" style="1" customWidth="1"/>
    <col min="9510" max="9510" width="11.7109375" style="1" customWidth="1"/>
    <col min="9511" max="9511" width="10" style="1" customWidth="1"/>
    <col min="9512" max="9512" width="7.42578125" style="1" customWidth="1"/>
    <col min="9513" max="9513" width="7.140625" style="1" customWidth="1"/>
    <col min="9514" max="9514" width="6.42578125" style="1" customWidth="1"/>
    <col min="9515" max="9745" width="8.7109375" style="1"/>
    <col min="9746" max="9746" width="3.7109375" style="1" customWidth="1"/>
    <col min="9747" max="9747" width="4.28515625" style="1" customWidth="1"/>
    <col min="9748" max="9748" width="11.28515625" style="1" customWidth="1"/>
    <col min="9749" max="9749" width="13.42578125" style="1" customWidth="1"/>
    <col min="9750" max="9752" width="5.42578125" style="1" customWidth="1"/>
    <col min="9753" max="9753" width="8.28515625" style="1" customWidth="1"/>
    <col min="9754" max="9756" width="4.7109375" style="1" customWidth="1"/>
    <col min="9757" max="9757" width="11.7109375" style="1" customWidth="1"/>
    <col min="9758" max="9759" width="7" style="1" customWidth="1"/>
    <col min="9760" max="9760" width="6.42578125" style="1" customWidth="1"/>
    <col min="9761" max="9761" width="15" style="1" customWidth="1"/>
    <col min="9762" max="9762" width="5.28515625" style="1" customWidth="1"/>
    <col min="9763" max="9765" width="4.7109375" style="1" customWidth="1"/>
    <col min="9766" max="9766" width="11.7109375" style="1" customWidth="1"/>
    <col min="9767" max="9767" width="10" style="1" customWidth="1"/>
    <col min="9768" max="9768" width="7.42578125" style="1" customWidth="1"/>
    <col min="9769" max="9769" width="7.140625" style="1" customWidth="1"/>
    <col min="9770" max="9770" width="6.42578125" style="1" customWidth="1"/>
    <col min="9771" max="10001" width="8.7109375" style="1"/>
    <col min="10002" max="10002" width="3.7109375" style="1" customWidth="1"/>
    <col min="10003" max="10003" width="4.28515625" style="1" customWidth="1"/>
    <col min="10004" max="10004" width="11.28515625" style="1" customWidth="1"/>
    <col min="10005" max="10005" width="13.42578125" style="1" customWidth="1"/>
    <col min="10006" max="10008" width="5.42578125" style="1" customWidth="1"/>
    <col min="10009" max="10009" width="8.28515625" style="1" customWidth="1"/>
    <col min="10010" max="10012" width="4.7109375" style="1" customWidth="1"/>
    <col min="10013" max="10013" width="11.7109375" style="1" customWidth="1"/>
    <col min="10014" max="10015" width="7" style="1" customWidth="1"/>
    <col min="10016" max="10016" width="6.42578125" style="1" customWidth="1"/>
    <col min="10017" max="10017" width="15" style="1" customWidth="1"/>
    <col min="10018" max="10018" width="5.28515625" style="1" customWidth="1"/>
    <col min="10019" max="10021" width="4.7109375" style="1" customWidth="1"/>
    <col min="10022" max="10022" width="11.7109375" style="1" customWidth="1"/>
    <col min="10023" max="10023" width="10" style="1" customWidth="1"/>
    <col min="10024" max="10024" width="7.42578125" style="1" customWidth="1"/>
    <col min="10025" max="10025" width="7.140625" style="1" customWidth="1"/>
    <col min="10026" max="10026" width="6.42578125" style="1" customWidth="1"/>
    <col min="10027" max="10257" width="8.7109375" style="1"/>
    <col min="10258" max="10258" width="3.7109375" style="1" customWidth="1"/>
    <col min="10259" max="10259" width="4.28515625" style="1" customWidth="1"/>
    <col min="10260" max="10260" width="11.28515625" style="1" customWidth="1"/>
    <col min="10261" max="10261" width="13.42578125" style="1" customWidth="1"/>
    <col min="10262" max="10264" width="5.42578125" style="1" customWidth="1"/>
    <col min="10265" max="10265" width="8.28515625" style="1" customWidth="1"/>
    <col min="10266" max="10268" width="4.7109375" style="1" customWidth="1"/>
    <col min="10269" max="10269" width="11.7109375" style="1" customWidth="1"/>
    <col min="10270" max="10271" width="7" style="1" customWidth="1"/>
    <col min="10272" max="10272" width="6.42578125" style="1" customWidth="1"/>
    <col min="10273" max="10273" width="15" style="1" customWidth="1"/>
    <col min="10274" max="10274" width="5.28515625" style="1" customWidth="1"/>
    <col min="10275" max="10277" width="4.7109375" style="1" customWidth="1"/>
    <col min="10278" max="10278" width="11.7109375" style="1" customWidth="1"/>
    <col min="10279" max="10279" width="10" style="1" customWidth="1"/>
    <col min="10280" max="10280" width="7.42578125" style="1" customWidth="1"/>
    <col min="10281" max="10281" width="7.140625" style="1" customWidth="1"/>
    <col min="10282" max="10282" width="6.42578125" style="1" customWidth="1"/>
    <col min="10283" max="10513" width="8.7109375" style="1"/>
    <col min="10514" max="10514" width="3.7109375" style="1" customWidth="1"/>
    <col min="10515" max="10515" width="4.28515625" style="1" customWidth="1"/>
    <col min="10516" max="10516" width="11.28515625" style="1" customWidth="1"/>
    <col min="10517" max="10517" width="13.42578125" style="1" customWidth="1"/>
    <col min="10518" max="10520" width="5.42578125" style="1" customWidth="1"/>
    <col min="10521" max="10521" width="8.28515625" style="1" customWidth="1"/>
    <col min="10522" max="10524" width="4.7109375" style="1" customWidth="1"/>
    <col min="10525" max="10525" width="11.7109375" style="1" customWidth="1"/>
    <col min="10526" max="10527" width="7" style="1" customWidth="1"/>
    <col min="10528" max="10528" width="6.42578125" style="1" customWidth="1"/>
    <col min="10529" max="10529" width="15" style="1" customWidth="1"/>
    <col min="10530" max="10530" width="5.28515625" style="1" customWidth="1"/>
    <col min="10531" max="10533" width="4.7109375" style="1" customWidth="1"/>
    <col min="10534" max="10534" width="11.7109375" style="1" customWidth="1"/>
    <col min="10535" max="10535" width="10" style="1" customWidth="1"/>
    <col min="10536" max="10536" width="7.42578125" style="1" customWidth="1"/>
    <col min="10537" max="10537" width="7.140625" style="1" customWidth="1"/>
    <col min="10538" max="10538" width="6.42578125" style="1" customWidth="1"/>
    <col min="10539" max="10769" width="8.7109375" style="1"/>
    <col min="10770" max="10770" width="3.7109375" style="1" customWidth="1"/>
    <col min="10771" max="10771" width="4.28515625" style="1" customWidth="1"/>
    <col min="10772" max="10772" width="11.28515625" style="1" customWidth="1"/>
    <col min="10773" max="10773" width="13.42578125" style="1" customWidth="1"/>
    <col min="10774" max="10776" width="5.42578125" style="1" customWidth="1"/>
    <col min="10777" max="10777" width="8.28515625" style="1" customWidth="1"/>
    <col min="10778" max="10780" width="4.7109375" style="1" customWidth="1"/>
    <col min="10781" max="10781" width="11.7109375" style="1" customWidth="1"/>
    <col min="10782" max="10783" width="7" style="1" customWidth="1"/>
    <col min="10784" max="10784" width="6.42578125" style="1" customWidth="1"/>
    <col min="10785" max="10785" width="15" style="1" customWidth="1"/>
    <col min="10786" max="10786" width="5.28515625" style="1" customWidth="1"/>
    <col min="10787" max="10789" width="4.7109375" style="1" customWidth="1"/>
    <col min="10790" max="10790" width="11.7109375" style="1" customWidth="1"/>
    <col min="10791" max="10791" width="10" style="1" customWidth="1"/>
    <col min="10792" max="10792" width="7.42578125" style="1" customWidth="1"/>
    <col min="10793" max="10793" width="7.140625" style="1" customWidth="1"/>
    <col min="10794" max="10794" width="6.42578125" style="1" customWidth="1"/>
    <col min="10795" max="11025" width="8.7109375" style="1"/>
    <col min="11026" max="11026" width="3.7109375" style="1" customWidth="1"/>
    <col min="11027" max="11027" width="4.28515625" style="1" customWidth="1"/>
    <col min="11028" max="11028" width="11.28515625" style="1" customWidth="1"/>
    <col min="11029" max="11029" width="13.42578125" style="1" customWidth="1"/>
    <col min="11030" max="11032" width="5.42578125" style="1" customWidth="1"/>
    <col min="11033" max="11033" width="8.28515625" style="1" customWidth="1"/>
    <col min="11034" max="11036" width="4.7109375" style="1" customWidth="1"/>
    <col min="11037" max="11037" width="11.7109375" style="1" customWidth="1"/>
    <col min="11038" max="11039" width="7" style="1" customWidth="1"/>
    <col min="11040" max="11040" width="6.42578125" style="1" customWidth="1"/>
    <col min="11041" max="11041" width="15" style="1" customWidth="1"/>
    <col min="11042" max="11042" width="5.28515625" style="1" customWidth="1"/>
    <col min="11043" max="11045" width="4.7109375" style="1" customWidth="1"/>
    <col min="11046" max="11046" width="11.7109375" style="1" customWidth="1"/>
    <col min="11047" max="11047" width="10" style="1" customWidth="1"/>
    <col min="11048" max="11048" width="7.42578125" style="1" customWidth="1"/>
    <col min="11049" max="11049" width="7.140625" style="1" customWidth="1"/>
    <col min="11050" max="11050" width="6.42578125" style="1" customWidth="1"/>
    <col min="11051" max="11281" width="8.7109375" style="1"/>
    <col min="11282" max="11282" width="3.7109375" style="1" customWidth="1"/>
    <col min="11283" max="11283" width="4.28515625" style="1" customWidth="1"/>
    <col min="11284" max="11284" width="11.28515625" style="1" customWidth="1"/>
    <col min="11285" max="11285" width="13.42578125" style="1" customWidth="1"/>
    <col min="11286" max="11288" width="5.42578125" style="1" customWidth="1"/>
    <col min="11289" max="11289" width="8.28515625" style="1" customWidth="1"/>
    <col min="11290" max="11292" width="4.7109375" style="1" customWidth="1"/>
    <col min="11293" max="11293" width="11.7109375" style="1" customWidth="1"/>
    <col min="11294" max="11295" width="7" style="1" customWidth="1"/>
    <col min="11296" max="11296" width="6.42578125" style="1" customWidth="1"/>
    <col min="11297" max="11297" width="15" style="1" customWidth="1"/>
    <col min="11298" max="11298" width="5.28515625" style="1" customWidth="1"/>
    <col min="11299" max="11301" width="4.7109375" style="1" customWidth="1"/>
    <col min="11302" max="11302" width="11.7109375" style="1" customWidth="1"/>
    <col min="11303" max="11303" width="10" style="1" customWidth="1"/>
    <col min="11304" max="11304" width="7.42578125" style="1" customWidth="1"/>
    <col min="11305" max="11305" width="7.140625" style="1" customWidth="1"/>
    <col min="11306" max="11306" width="6.42578125" style="1" customWidth="1"/>
    <col min="11307" max="11537" width="8.7109375" style="1"/>
    <col min="11538" max="11538" width="3.7109375" style="1" customWidth="1"/>
    <col min="11539" max="11539" width="4.28515625" style="1" customWidth="1"/>
    <col min="11540" max="11540" width="11.28515625" style="1" customWidth="1"/>
    <col min="11541" max="11541" width="13.42578125" style="1" customWidth="1"/>
    <col min="11542" max="11544" width="5.42578125" style="1" customWidth="1"/>
    <col min="11545" max="11545" width="8.28515625" style="1" customWidth="1"/>
    <col min="11546" max="11548" width="4.7109375" style="1" customWidth="1"/>
    <col min="11549" max="11549" width="11.7109375" style="1" customWidth="1"/>
    <col min="11550" max="11551" width="7" style="1" customWidth="1"/>
    <col min="11552" max="11552" width="6.42578125" style="1" customWidth="1"/>
    <col min="11553" max="11553" width="15" style="1" customWidth="1"/>
    <col min="11554" max="11554" width="5.28515625" style="1" customWidth="1"/>
    <col min="11555" max="11557" width="4.7109375" style="1" customWidth="1"/>
    <col min="11558" max="11558" width="11.7109375" style="1" customWidth="1"/>
    <col min="11559" max="11559" width="10" style="1" customWidth="1"/>
    <col min="11560" max="11560" width="7.42578125" style="1" customWidth="1"/>
    <col min="11561" max="11561" width="7.140625" style="1" customWidth="1"/>
    <col min="11562" max="11562" width="6.42578125" style="1" customWidth="1"/>
    <col min="11563" max="11793" width="8.7109375" style="1"/>
    <col min="11794" max="11794" width="3.7109375" style="1" customWidth="1"/>
    <col min="11795" max="11795" width="4.28515625" style="1" customWidth="1"/>
    <col min="11796" max="11796" width="11.28515625" style="1" customWidth="1"/>
    <col min="11797" max="11797" width="13.42578125" style="1" customWidth="1"/>
    <col min="11798" max="11800" width="5.42578125" style="1" customWidth="1"/>
    <col min="11801" max="11801" width="8.28515625" style="1" customWidth="1"/>
    <col min="11802" max="11804" width="4.7109375" style="1" customWidth="1"/>
    <col min="11805" max="11805" width="11.7109375" style="1" customWidth="1"/>
    <col min="11806" max="11807" width="7" style="1" customWidth="1"/>
    <col min="11808" max="11808" width="6.42578125" style="1" customWidth="1"/>
    <col min="11809" max="11809" width="15" style="1" customWidth="1"/>
    <col min="11810" max="11810" width="5.28515625" style="1" customWidth="1"/>
    <col min="11811" max="11813" width="4.7109375" style="1" customWidth="1"/>
    <col min="11814" max="11814" width="11.7109375" style="1" customWidth="1"/>
    <col min="11815" max="11815" width="10" style="1" customWidth="1"/>
    <col min="11816" max="11816" width="7.42578125" style="1" customWidth="1"/>
    <col min="11817" max="11817" width="7.140625" style="1" customWidth="1"/>
    <col min="11818" max="11818" width="6.42578125" style="1" customWidth="1"/>
    <col min="11819" max="12049" width="8.7109375" style="1"/>
    <col min="12050" max="12050" width="3.7109375" style="1" customWidth="1"/>
    <col min="12051" max="12051" width="4.28515625" style="1" customWidth="1"/>
    <col min="12052" max="12052" width="11.28515625" style="1" customWidth="1"/>
    <col min="12053" max="12053" width="13.42578125" style="1" customWidth="1"/>
    <col min="12054" max="12056" width="5.42578125" style="1" customWidth="1"/>
    <col min="12057" max="12057" width="8.28515625" style="1" customWidth="1"/>
    <col min="12058" max="12060" width="4.7109375" style="1" customWidth="1"/>
    <col min="12061" max="12061" width="11.7109375" style="1" customWidth="1"/>
    <col min="12062" max="12063" width="7" style="1" customWidth="1"/>
    <col min="12064" max="12064" width="6.42578125" style="1" customWidth="1"/>
    <col min="12065" max="12065" width="15" style="1" customWidth="1"/>
    <col min="12066" max="12066" width="5.28515625" style="1" customWidth="1"/>
    <col min="12067" max="12069" width="4.7109375" style="1" customWidth="1"/>
    <col min="12070" max="12070" width="11.7109375" style="1" customWidth="1"/>
    <col min="12071" max="12071" width="10" style="1" customWidth="1"/>
    <col min="12072" max="12072" width="7.42578125" style="1" customWidth="1"/>
    <col min="12073" max="12073" width="7.140625" style="1" customWidth="1"/>
    <col min="12074" max="12074" width="6.42578125" style="1" customWidth="1"/>
    <col min="12075" max="12305" width="8.7109375" style="1"/>
    <col min="12306" max="12306" width="3.7109375" style="1" customWidth="1"/>
    <col min="12307" max="12307" width="4.28515625" style="1" customWidth="1"/>
    <col min="12308" max="12308" width="11.28515625" style="1" customWidth="1"/>
    <col min="12309" max="12309" width="13.42578125" style="1" customWidth="1"/>
    <col min="12310" max="12312" width="5.42578125" style="1" customWidth="1"/>
    <col min="12313" max="12313" width="8.28515625" style="1" customWidth="1"/>
    <col min="12314" max="12316" width="4.7109375" style="1" customWidth="1"/>
    <col min="12317" max="12317" width="11.7109375" style="1" customWidth="1"/>
    <col min="12318" max="12319" width="7" style="1" customWidth="1"/>
    <col min="12320" max="12320" width="6.42578125" style="1" customWidth="1"/>
    <col min="12321" max="12321" width="15" style="1" customWidth="1"/>
    <col min="12322" max="12322" width="5.28515625" style="1" customWidth="1"/>
    <col min="12323" max="12325" width="4.7109375" style="1" customWidth="1"/>
    <col min="12326" max="12326" width="11.7109375" style="1" customWidth="1"/>
    <col min="12327" max="12327" width="10" style="1" customWidth="1"/>
    <col min="12328" max="12328" width="7.42578125" style="1" customWidth="1"/>
    <col min="12329" max="12329" width="7.140625" style="1" customWidth="1"/>
    <col min="12330" max="12330" width="6.42578125" style="1" customWidth="1"/>
    <col min="12331" max="12561" width="8.7109375" style="1"/>
    <col min="12562" max="12562" width="3.7109375" style="1" customWidth="1"/>
    <col min="12563" max="12563" width="4.28515625" style="1" customWidth="1"/>
    <col min="12564" max="12564" width="11.28515625" style="1" customWidth="1"/>
    <col min="12565" max="12565" width="13.42578125" style="1" customWidth="1"/>
    <col min="12566" max="12568" width="5.42578125" style="1" customWidth="1"/>
    <col min="12569" max="12569" width="8.28515625" style="1" customWidth="1"/>
    <col min="12570" max="12572" width="4.7109375" style="1" customWidth="1"/>
    <col min="12573" max="12573" width="11.7109375" style="1" customWidth="1"/>
    <col min="12574" max="12575" width="7" style="1" customWidth="1"/>
    <col min="12576" max="12576" width="6.42578125" style="1" customWidth="1"/>
    <col min="12577" max="12577" width="15" style="1" customWidth="1"/>
    <col min="12578" max="12578" width="5.28515625" style="1" customWidth="1"/>
    <col min="12579" max="12581" width="4.7109375" style="1" customWidth="1"/>
    <col min="12582" max="12582" width="11.7109375" style="1" customWidth="1"/>
    <col min="12583" max="12583" width="10" style="1" customWidth="1"/>
    <col min="12584" max="12584" width="7.42578125" style="1" customWidth="1"/>
    <col min="12585" max="12585" width="7.140625" style="1" customWidth="1"/>
    <col min="12586" max="12586" width="6.42578125" style="1" customWidth="1"/>
    <col min="12587" max="12817" width="8.7109375" style="1"/>
    <col min="12818" max="12818" width="3.7109375" style="1" customWidth="1"/>
    <col min="12819" max="12819" width="4.28515625" style="1" customWidth="1"/>
    <col min="12820" max="12820" width="11.28515625" style="1" customWidth="1"/>
    <col min="12821" max="12821" width="13.42578125" style="1" customWidth="1"/>
    <col min="12822" max="12824" width="5.42578125" style="1" customWidth="1"/>
    <col min="12825" max="12825" width="8.28515625" style="1" customWidth="1"/>
    <col min="12826" max="12828" width="4.7109375" style="1" customWidth="1"/>
    <col min="12829" max="12829" width="11.7109375" style="1" customWidth="1"/>
    <col min="12830" max="12831" width="7" style="1" customWidth="1"/>
    <col min="12832" max="12832" width="6.42578125" style="1" customWidth="1"/>
    <col min="12833" max="12833" width="15" style="1" customWidth="1"/>
    <col min="12834" max="12834" width="5.28515625" style="1" customWidth="1"/>
    <col min="12835" max="12837" width="4.7109375" style="1" customWidth="1"/>
    <col min="12838" max="12838" width="11.7109375" style="1" customWidth="1"/>
    <col min="12839" max="12839" width="10" style="1" customWidth="1"/>
    <col min="12840" max="12840" width="7.42578125" style="1" customWidth="1"/>
    <col min="12841" max="12841" width="7.140625" style="1" customWidth="1"/>
    <col min="12842" max="12842" width="6.42578125" style="1" customWidth="1"/>
    <col min="12843" max="13073" width="8.7109375" style="1"/>
    <col min="13074" max="13074" width="3.7109375" style="1" customWidth="1"/>
    <col min="13075" max="13075" width="4.28515625" style="1" customWidth="1"/>
    <col min="13076" max="13076" width="11.28515625" style="1" customWidth="1"/>
    <col min="13077" max="13077" width="13.42578125" style="1" customWidth="1"/>
    <col min="13078" max="13080" width="5.42578125" style="1" customWidth="1"/>
    <col min="13081" max="13081" width="8.28515625" style="1" customWidth="1"/>
    <col min="13082" max="13084" width="4.7109375" style="1" customWidth="1"/>
    <col min="13085" max="13085" width="11.7109375" style="1" customWidth="1"/>
    <col min="13086" max="13087" width="7" style="1" customWidth="1"/>
    <col min="13088" max="13088" width="6.42578125" style="1" customWidth="1"/>
    <col min="13089" max="13089" width="15" style="1" customWidth="1"/>
    <col min="13090" max="13090" width="5.28515625" style="1" customWidth="1"/>
    <col min="13091" max="13093" width="4.7109375" style="1" customWidth="1"/>
    <col min="13094" max="13094" width="11.7109375" style="1" customWidth="1"/>
    <col min="13095" max="13095" width="10" style="1" customWidth="1"/>
    <col min="13096" max="13096" width="7.42578125" style="1" customWidth="1"/>
    <col min="13097" max="13097" width="7.140625" style="1" customWidth="1"/>
    <col min="13098" max="13098" width="6.42578125" style="1" customWidth="1"/>
    <col min="13099" max="13329" width="8.7109375" style="1"/>
    <col min="13330" max="13330" width="3.7109375" style="1" customWidth="1"/>
    <col min="13331" max="13331" width="4.28515625" style="1" customWidth="1"/>
    <col min="13332" max="13332" width="11.28515625" style="1" customWidth="1"/>
    <col min="13333" max="13333" width="13.42578125" style="1" customWidth="1"/>
    <col min="13334" max="13336" width="5.42578125" style="1" customWidth="1"/>
    <col min="13337" max="13337" width="8.28515625" style="1" customWidth="1"/>
    <col min="13338" max="13340" width="4.7109375" style="1" customWidth="1"/>
    <col min="13341" max="13341" width="11.7109375" style="1" customWidth="1"/>
    <col min="13342" max="13343" width="7" style="1" customWidth="1"/>
    <col min="13344" max="13344" width="6.42578125" style="1" customWidth="1"/>
    <col min="13345" max="13345" width="15" style="1" customWidth="1"/>
    <col min="13346" max="13346" width="5.28515625" style="1" customWidth="1"/>
    <col min="13347" max="13349" width="4.7109375" style="1" customWidth="1"/>
    <col min="13350" max="13350" width="11.7109375" style="1" customWidth="1"/>
    <col min="13351" max="13351" width="10" style="1" customWidth="1"/>
    <col min="13352" max="13352" width="7.42578125" style="1" customWidth="1"/>
    <col min="13353" max="13353" width="7.140625" style="1" customWidth="1"/>
    <col min="13354" max="13354" width="6.42578125" style="1" customWidth="1"/>
    <col min="13355" max="13585" width="8.7109375" style="1"/>
    <col min="13586" max="13586" width="3.7109375" style="1" customWidth="1"/>
    <col min="13587" max="13587" width="4.28515625" style="1" customWidth="1"/>
    <col min="13588" max="13588" width="11.28515625" style="1" customWidth="1"/>
    <col min="13589" max="13589" width="13.42578125" style="1" customWidth="1"/>
    <col min="13590" max="13592" width="5.42578125" style="1" customWidth="1"/>
    <col min="13593" max="13593" width="8.28515625" style="1" customWidth="1"/>
    <col min="13594" max="13596" width="4.7109375" style="1" customWidth="1"/>
    <col min="13597" max="13597" width="11.7109375" style="1" customWidth="1"/>
    <col min="13598" max="13599" width="7" style="1" customWidth="1"/>
    <col min="13600" max="13600" width="6.42578125" style="1" customWidth="1"/>
    <col min="13601" max="13601" width="15" style="1" customWidth="1"/>
    <col min="13602" max="13602" width="5.28515625" style="1" customWidth="1"/>
    <col min="13603" max="13605" width="4.7109375" style="1" customWidth="1"/>
    <col min="13606" max="13606" width="11.7109375" style="1" customWidth="1"/>
    <col min="13607" max="13607" width="10" style="1" customWidth="1"/>
    <col min="13608" max="13608" width="7.42578125" style="1" customWidth="1"/>
    <col min="13609" max="13609" width="7.140625" style="1" customWidth="1"/>
    <col min="13610" max="13610" width="6.42578125" style="1" customWidth="1"/>
    <col min="13611" max="13841" width="8.7109375" style="1"/>
    <col min="13842" max="13842" width="3.7109375" style="1" customWidth="1"/>
    <col min="13843" max="13843" width="4.28515625" style="1" customWidth="1"/>
    <col min="13844" max="13844" width="11.28515625" style="1" customWidth="1"/>
    <col min="13845" max="13845" width="13.42578125" style="1" customWidth="1"/>
    <col min="13846" max="13848" width="5.42578125" style="1" customWidth="1"/>
    <col min="13849" max="13849" width="8.28515625" style="1" customWidth="1"/>
    <col min="13850" max="13852" width="4.7109375" style="1" customWidth="1"/>
    <col min="13853" max="13853" width="11.7109375" style="1" customWidth="1"/>
    <col min="13854" max="13855" width="7" style="1" customWidth="1"/>
    <col min="13856" max="13856" width="6.42578125" style="1" customWidth="1"/>
    <col min="13857" max="13857" width="15" style="1" customWidth="1"/>
    <col min="13858" max="13858" width="5.28515625" style="1" customWidth="1"/>
    <col min="13859" max="13861" width="4.7109375" style="1" customWidth="1"/>
    <col min="13862" max="13862" width="11.7109375" style="1" customWidth="1"/>
    <col min="13863" max="13863" width="10" style="1" customWidth="1"/>
    <col min="13864" max="13864" width="7.42578125" style="1" customWidth="1"/>
    <col min="13865" max="13865" width="7.140625" style="1" customWidth="1"/>
    <col min="13866" max="13866" width="6.42578125" style="1" customWidth="1"/>
    <col min="13867" max="14097" width="8.7109375" style="1"/>
    <col min="14098" max="14098" width="3.7109375" style="1" customWidth="1"/>
    <col min="14099" max="14099" width="4.28515625" style="1" customWidth="1"/>
    <col min="14100" max="14100" width="11.28515625" style="1" customWidth="1"/>
    <col min="14101" max="14101" width="13.42578125" style="1" customWidth="1"/>
    <col min="14102" max="14104" width="5.42578125" style="1" customWidth="1"/>
    <col min="14105" max="14105" width="8.28515625" style="1" customWidth="1"/>
    <col min="14106" max="14108" width="4.7109375" style="1" customWidth="1"/>
    <col min="14109" max="14109" width="11.7109375" style="1" customWidth="1"/>
    <col min="14110" max="14111" width="7" style="1" customWidth="1"/>
    <col min="14112" max="14112" width="6.42578125" style="1" customWidth="1"/>
    <col min="14113" max="14113" width="15" style="1" customWidth="1"/>
    <col min="14114" max="14114" width="5.28515625" style="1" customWidth="1"/>
    <col min="14115" max="14117" width="4.7109375" style="1" customWidth="1"/>
    <col min="14118" max="14118" width="11.7109375" style="1" customWidth="1"/>
    <col min="14119" max="14119" width="10" style="1" customWidth="1"/>
    <col min="14120" max="14120" width="7.42578125" style="1" customWidth="1"/>
    <col min="14121" max="14121" width="7.140625" style="1" customWidth="1"/>
    <col min="14122" max="14122" width="6.42578125" style="1" customWidth="1"/>
    <col min="14123" max="14353" width="8.7109375" style="1"/>
    <col min="14354" max="14354" width="3.7109375" style="1" customWidth="1"/>
    <col min="14355" max="14355" width="4.28515625" style="1" customWidth="1"/>
    <col min="14356" max="14356" width="11.28515625" style="1" customWidth="1"/>
    <col min="14357" max="14357" width="13.42578125" style="1" customWidth="1"/>
    <col min="14358" max="14360" width="5.42578125" style="1" customWidth="1"/>
    <col min="14361" max="14361" width="8.28515625" style="1" customWidth="1"/>
    <col min="14362" max="14364" width="4.7109375" style="1" customWidth="1"/>
    <col min="14365" max="14365" width="11.7109375" style="1" customWidth="1"/>
    <col min="14366" max="14367" width="7" style="1" customWidth="1"/>
    <col min="14368" max="14368" width="6.42578125" style="1" customWidth="1"/>
    <col min="14369" max="14369" width="15" style="1" customWidth="1"/>
    <col min="14370" max="14370" width="5.28515625" style="1" customWidth="1"/>
    <col min="14371" max="14373" width="4.7109375" style="1" customWidth="1"/>
    <col min="14374" max="14374" width="11.7109375" style="1" customWidth="1"/>
    <col min="14375" max="14375" width="10" style="1" customWidth="1"/>
    <col min="14376" max="14376" width="7.42578125" style="1" customWidth="1"/>
    <col min="14377" max="14377" width="7.140625" style="1" customWidth="1"/>
    <col min="14378" max="14378" width="6.42578125" style="1" customWidth="1"/>
    <col min="14379" max="14609" width="8.7109375" style="1"/>
    <col min="14610" max="14610" width="3.7109375" style="1" customWidth="1"/>
    <col min="14611" max="14611" width="4.28515625" style="1" customWidth="1"/>
    <col min="14612" max="14612" width="11.28515625" style="1" customWidth="1"/>
    <col min="14613" max="14613" width="13.42578125" style="1" customWidth="1"/>
    <col min="14614" max="14616" width="5.42578125" style="1" customWidth="1"/>
    <col min="14617" max="14617" width="8.28515625" style="1" customWidth="1"/>
    <col min="14618" max="14620" width="4.7109375" style="1" customWidth="1"/>
    <col min="14621" max="14621" width="11.7109375" style="1" customWidth="1"/>
    <col min="14622" max="14623" width="7" style="1" customWidth="1"/>
    <col min="14624" max="14624" width="6.42578125" style="1" customWidth="1"/>
    <col min="14625" max="14625" width="15" style="1" customWidth="1"/>
    <col min="14626" max="14626" width="5.28515625" style="1" customWidth="1"/>
    <col min="14627" max="14629" width="4.7109375" style="1" customWidth="1"/>
    <col min="14630" max="14630" width="11.7109375" style="1" customWidth="1"/>
    <col min="14631" max="14631" width="10" style="1" customWidth="1"/>
    <col min="14632" max="14632" width="7.42578125" style="1" customWidth="1"/>
    <col min="14633" max="14633" width="7.140625" style="1" customWidth="1"/>
    <col min="14634" max="14634" width="6.42578125" style="1" customWidth="1"/>
    <col min="14635" max="14865" width="8.7109375" style="1"/>
    <col min="14866" max="14866" width="3.7109375" style="1" customWidth="1"/>
    <col min="14867" max="14867" width="4.28515625" style="1" customWidth="1"/>
    <col min="14868" max="14868" width="11.28515625" style="1" customWidth="1"/>
    <col min="14869" max="14869" width="13.42578125" style="1" customWidth="1"/>
    <col min="14870" max="14872" width="5.42578125" style="1" customWidth="1"/>
    <col min="14873" max="14873" width="8.28515625" style="1" customWidth="1"/>
    <col min="14874" max="14876" width="4.7109375" style="1" customWidth="1"/>
    <col min="14877" max="14877" width="11.7109375" style="1" customWidth="1"/>
    <col min="14878" max="14879" width="7" style="1" customWidth="1"/>
    <col min="14880" max="14880" width="6.42578125" style="1" customWidth="1"/>
    <col min="14881" max="14881" width="15" style="1" customWidth="1"/>
    <col min="14882" max="14882" width="5.28515625" style="1" customWidth="1"/>
    <col min="14883" max="14885" width="4.7109375" style="1" customWidth="1"/>
    <col min="14886" max="14886" width="11.7109375" style="1" customWidth="1"/>
    <col min="14887" max="14887" width="10" style="1" customWidth="1"/>
    <col min="14888" max="14888" width="7.42578125" style="1" customWidth="1"/>
    <col min="14889" max="14889" width="7.140625" style="1" customWidth="1"/>
    <col min="14890" max="14890" width="6.42578125" style="1" customWidth="1"/>
    <col min="14891" max="15121" width="8.7109375" style="1"/>
    <col min="15122" max="15122" width="3.7109375" style="1" customWidth="1"/>
    <col min="15123" max="15123" width="4.28515625" style="1" customWidth="1"/>
    <col min="15124" max="15124" width="11.28515625" style="1" customWidth="1"/>
    <col min="15125" max="15125" width="13.42578125" style="1" customWidth="1"/>
    <col min="15126" max="15128" width="5.42578125" style="1" customWidth="1"/>
    <col min="15129" max="15129" width="8.28515625" style="1" customWidth="1"/>
    <col min="15130" max="15132" width="4.7109375" style="1" customWidth="1"/>
    <col min="15133" max="15133" width="11.7109375" style="1" customWidth="1"/>
    <col min="15134" max="15135" width="7" style="1" customWidth="1"/>
    <col min="15136" max="15136" width="6.42578125" style="1" customWidth="1"/>
    <col min="15137" max="15137" width="15" style="1" customWidth="1"/>
    <col min="15138" max="15138" width="5.28515625" style="1" customWidth="1"/>
    <col min="15139" max="15141" width="4.7109375" style="1" customWidth="1"/>
    <col min="15142" max="15142" width="11.7109375" style="1" customWidth="1"/>
    <col min="15143" max="15143" width="10" style="1" customWidth="1"/>
    <col min="15144" max="15144" width="7.42578125" style="1" customWidth="1"/>
    <col min="15145" max="15145" width="7.140625" style="1" customWidth="1"/>
    <col min="15146" max="15146" width="6.42578125" style="1" customWidth="1"/>
    <col min="15147" max="15377" width="8.7109375" style="1"/>
    <col min="15378" max="15378" width="3.7109375" style="1" customWidth="1"/>
    <col min="15379" max="15379" width="4.28515625" style="1" customWidth="1"/>
    <col min="15380" max="15380" width="11.28515625" style="1" customWidth="1"/>
    <col min="15381" max="15381" width="13.42578125" style="1" customWidth="1"/>
    <col min="15382" max="15384" width="5.42578125" style="1" customWidth="1"/>
    <col min="15385" max="15385" width="8.28515625" style="1" customWidth="1"/>
    <col min="15386" max="15388" width="4.7109375" style="1" customWidth="1"/>
    <col min="15389" max="15389" width="11.7109375" style="1" customWidth="1"/>
    <col min="15390" max="15391" width="7" style="1" customWidth="1"/>
    <col min="15392" max="15392" width="6.42578125" style="1" customWidth="1"/>
    <col min="15393" max="15393" width="15" style="1" customWidth="1"/>
    <col min="15394" max="15394" width="5.28515625" style="1" customWidth="1"/>
    <col min="15395" max="15397" width="4.7109375" style="1" customWidth="1"/>
    <col min="15398" max="15398" width="11.7109375" style="1" customWidth="1"/>
    <col min="15399" max="15399" width="10" style="1" customWidth="1"/>
    <col min="15400" max="15400" width="7.42578125" style="1" customWidth="1"/>
    <col min="15401" max="15401" width="7.140625" style="1" customWidth="1"/>
    <col min="15402" max="15402" width="6.42578125" style="1" customWidth="1"/>
    <col min="15403" max="15633" width="8.7109375" style="1"/>
    <col min="15634" max="15634" width="3.7109375" style="1" customWidth="1"/>
    <col min="15635" max="15635" width="4.28515625" style="1" customWidth="1"/>
    <col min="15636" max="15636" width="11.28515625" style="1" customWidth="1"/>
    <col min="15637" max="15637" width="13.42578125" style="1" customWidth="1"/>
    <col min="15638" max="15640" width="5.42578125" style="1" customWidth="1"/>
    <col min="15641" max="15641" width="8.28515625" style="1" customWidth="1"/>
    <col min="15642" max="15644" width="4.7109375" style="1" customWidth="1"/>
    <col min="15645" max="15645" width="11.7109375" style="1" customWidth="1"/>
    <col min="15646" max="15647" width="7" style="1" customWidth="1"/>
    <col min="15648" max="15648" width="6.42578125" style="1" customWidth="1"/>
    <col min="15649" max="15649" width="15" style="1" customWidth="1"/>
    <col min="15650" max="15650" width="5.28515625" style="1" customWidth="1"/>
    <col min="15651" max="15653" width="4.7109375" style="1" customWidth="1"/>
    <col min="15654" max="15654" width="11.7109375" style="1" customWidth="1"/>
    <col min="15655" max="15655" width="10" style="1" customWidth="1"/>
    <col min="15656" max="15656" width="7.42578125" style="1" customWidth="1"/>
    <col min="15657" max="15657" width="7.140625" style="1" customWidth="1"/>
    <col min="15658" max="15658" width="6.42578125" style="1" customWidth="1"/>
    <col min="15659" max="15889" width="8.7109375" style="1"/>
    <col min="15890" max="15890" width="3.7109375" style="1" customWidth="1"/>
    <col min="15891" max="15891" width="4.28515625" style="1" customWidth="1"/>
    <col min="15892" max="15892" width="11.28515625" style="1" customWidth="1"/>
    <col min="15893" max="15893" width="13.42578125" style="1" customWidth="1"/>
    <col min="15894" max="15896" width="5.42578125" style="1" customWidth="1"/>
    <col min="15897" max="15897" width="8.28515625" style="1" customWidth="1"/>
    <col min="15898" max="15900" width="4.7109375" style="1" customWidth="1"/>
    <col min="15901" max="15901" width="11.7109375" style="1" customWidth="1"/>
    <col min="15902" max="15903" width="7" style="1" customWidth="1"/>
    <col min="15904" max="15904" width="6.42578125" style="1" customWidth="1"/>
    <col min="15905" max="15905" width="15" style="1" customWidth="1"/>
    <col min="15906" max="15906" width="5.28515625" style="1" customWidth="1"/>
    <col min="15907" max="15909" width="4.7109375" style="1" customWidth="1"/>
    <col min="15910" max="15910" width="11.7109375" style="1" customWidth="1"/>
    <col min="15911" max="15911" width="10" style="1" customWidth="1"/>
    <col min="15912" max="15912" width="7.42578125" style="1" customWidth="1"/>
    <col min="15913" max="15913" width="7.140625" style="1" customWidth="1"/>
    <col min="15914" max="15914" width="6.42578125" style="1" customWidth="1"/>
    <col min="15915" max="16145" width="8.7109375" style="1"/>
    <col min="16146" max="16146" width="3.7109375" style="1" customWidth="1"/>
    <col min="16147" max="16147" width="4.28515625" style="1" customWidth="1"/>
    <col min="16148" max="16148" width="11.28515625" style="1" customWidth="1"/>
    <col min="16149" max="16149" width="13.42578125" style="1" customWidth="1"/>
    <col min="16150" max="16152" width="5.42578125" style="1" customWidth="1"/>
    <col min="16153" max="16153" width="8.28515625" style="1" customWidth="1"/>
    <col min="16154" max="16156" width="4.7109375" style="1" customWidth="1"/>
    <col min="16157" max="16157" width="11.7109375" style="1" customWidth="1"/>
    <col min="16158" max="16159" width="7" style="1" customWidth="1"/>
    <col min="16160" max="16160" width="6.42578125" style="1" customWidth="1"/>
    <col min="16161" max="16161" width="15" style="1" customWidth="1"/>
    <col min="16162" max="16162" width="5.28515625" style="1" customWidth="1"/>
    <col min="16163" max="16165" width="4.7109375" style="1" customWidth="1"/>
    <col min="16166" max="16166" width="11.7109375" style="1" customWidth="1"/>
    <col min="16167" max="16167" width="10" style="1" customWidth="1"/>
    <col min="16168" max="16168" width="7.42578125" style="1" customWidth="1"/>
    <col min="16169" max="16169" width="7.140625" style="1" customWidth="1"/>
    <col min="16170" max="16170" width="6.42578125" style="1" customWidth="1"/>
    <col min="16171" max="16384" width="8.7109375" style="1"/>
  </cols>
  <sheetData>
    <row r="1" spans="2:44" x14ac:dyDescent="0.25">
      <c r="B1" s="1" t="s">
        <v>0</v>
      </c>
      <c r="F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P1" s="2" t="s">
        <v>1</v>
      </c>
    </row>
    <row r="2" spans="2:44" ht="15" customHeight="1" x14ac:dyDescent="0.25">
      <c r="B2" s="1" t="s">
        <v>42</v>
      </c>
      <c r="F2" s="3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P2" s="1" t="s">
        <v>2</v>
      </c>
    </row>
    <row r="3" spans="2:44" ht="15" customHeight="1" x14ac:dyDescent="0.25">
      <c r="B3" s="1" t="s">
        <v>95</v>
      </c>
      <c r="F3" s="3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P3" s="4" t="s">
        <v>3</v>
      </c>
    </row>
    <row r="4" spans="2:44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</row>
    <row r="5" spans="2:44" ht="17.25" customHeight="1" x14ac:dyDescent="0.25">
      <c r="B5" s="44" t="s">
        <v>100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</row>
    <row r="6" spans="2:44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2:44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2:44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2:44" ht="39.7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3"/>
      <c r="X9" s="64" t="s">
        <v>12</v>
      </c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9" t="s">
        <v>13</v>
      </c>
      <c r="AR9" s="46" t="s">
        <v>14</v>
      </c>
    </row>
    <row r="10" spans="2:44" s="11" customFormat="1" ht="23.25" customHeight="1" x14ac:dyDescent="0.25">
      <c r="B10" s="60"/>
      <c r="C10" s="60"/>
      <c r="D10" s="60"/>
      <c r="E10" s="60"/>
      <c r="F10" s="49" t="s">
        <v>15</v>
      </c>
      <c r="G10" s="67" t="s">
        <v>15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10"/>
      <c r="W10" s="67" t="s">
        <v>15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49" t="s">
        <v>16</v>
      </c>
      <c r="AR10" s="47"/>
    </row>
    <row r="11" spans="2:44" s="12" customFormat="1" ht="73.150000000000006" customHeight="1" x14ac:dyDescent="0.25">
      <c r="B11" s="60"/>
      <c r="C11" s="60"/>
      <c r="D11" s="60"/>
      <c r="E11" s="60"/>
      <c r="F11" s="50"/>
      <c r="G11" s="10" t="s">
        <v>191</v>
      </c>
      <c r="H11" s="10" t="s">
        <v>193</v>
      </c>
      <c r="I11" s="10" t="s">
        <v>195</v>
      </c>
      <c r="J11" s="10" t="s">
        <v>196</v>
      </c>
      <c r="K11" s="10" t="s">
        <v>197</v>
      </c>
      <c r="L11" s="10" t="s">
        <v>198</v>
      </c>
      <c r="M11" s="10" t="s">
        <v>199</v>
      </c>
      <c r="N11" s="10" t="s">
        <v>209</v>
      </c>
      <c r="O11" s="10" t="s">
        <v>201</v>
      </c>
      <c r="P11" s="10" t="s">
        <v>204</v>
      </c>
      <c r="Q11" s="10" t="s">
        <v>205</v>
      </c>
      <c r="R11" s="10" t="s">
        <v>206</v>
      </c>
      <c r="S11" s="10" t="s">
        <v>207</v>
      </c>
      <c r="T11" s="10" t="s">
        <v>208</v>
      </c>
      <c r="U11" s="10" t="s">
        <v>211</v>
      </c>
      <c r="V11" s="10" t="s">
        <v>212</v>
      </c>
      <c r="W11" s="10" t="s">
        <v>17</v>
      </c>
      <c r="X11" s="10" t="s">
        <v>191</v>
      </c>
      <c r="Y11" s="10" t="s">
        <v>192</v>
      </c>
      <c r="Z11" s="10" t="s">
        <v>193</v>
      </c>
      <c r="AA11" s="10" t="s">
        <v>194</v>
      </c>
      <c r="AB11" s="10" t="s">
        <v>195</v>
      </c>
      <c r="AC11" s="10" t="s">
        <v>196</v>
      </c>
      <c r="AD11" s="10" t="s">
        <v>197</v>
      </c>
      <c r="AE11" s="10" t="s">
        <v>209</v>
      </c>
      <c r="AF11" s="10" t="s">
        <v>200</v>
      </c>
      <c r="AG11" s="10" t="s">
        <v>202</v>
      </c>
      <c r="AH11" s="10" t="s">
        <v>203</v>
      </c>
      <c r="AI11" s="10" t="s">
        <v>204</v>
      </c>
      <c r="AJ11" s="10" t="s">
        <v>205</v>
      </c>
      <c r="AK11" s="10" t="s">
        <v>206</v>
      </c>
      <c r="AL11" s="10" t="s">
        <v>207</v>
      </c>
      <c r="AM11" s="10" t="s">
        <v>208</v>
      </c>
      <c r="AN11" s="10" t="s">
        <v>210</v>
      </c>
      <c r="AO11" s="10" t="s">
        <v>221</v>
      </c>
      <c r="AP11" s="8" t="s">
        <v>18</v>
      </c>
      <c r="AQ11" s="50"/>
      <c r="AR11" s="48"/>
    </row>
    <row r="12" spans="2:44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52</v>
      </c>
      <c r="P12" s="14" t="s">
        <v>53</v>
      </c>
      <c r="Q12" s="14" t="s">
        <v>54</v>
      </c>
      <c r="R12" s="14" t="s">
        <v>55</v>
      </c>
      <c r="S12" s="14" t="s">
        <v>89</v>
      </c>
      <c r="T12" s="14" t="s">
        <v>90</v>
      </c>
      <c r="U12" s="14" t="s">
        <v>174</v>
      </c>
      <c r="V12" s="14" t="s">
        <v>175</v>
      </c>
      <c r="W12" s="14" t="s">
        <v>26</v>
      </c>
      <c r="X12" s="14" t="s">
        <v>27</v>
      </c>
      <c r="Y12" s="14" t="s">
        <v>28</v>
      </c>
      <c r="Z12" s="14" t="s">
        <v>56</v>
      </c>
      <c r="AA12" s="14" t="s">
        <v>57</v>
      </c>
      <c r="AB12" s="14" t="s">
        <v>58</v>
      </c>
      <c r="AC12" s="14" t="s">
        <v>223</v>
      </c>
      <c r="AD12" s="14" t="s">
        <v>59</v>
      </c>
      <c r="AE12" s="14" t="s">
        <v>60</v>
      </c>
      <c r="AF12" s="14" t="s">
        <v>61</v>
      </c>
      <c r="AG12" s="14" t="s">
        <v>62</v>
      </c>
      <c r="AH12" s="14" t="s">
        <v>63</v>
      </c>
      <c r="AI12" s="14" t="s">
        <v>64</v>
      </c>
      <c r="AJ12" s="14" t="s">
        <v>65</v>
      </c>
      <c r="AK12" s="14" t="s">
        <v>66</v>
      </c>
      <c r="AL12" s="14" t="s">
        <v>67</v>
      </c>
      <c r="AM12" s="14" t="s">
        <v>68</v>
      </c>
      <c r="AN12" s="14" t="s">
        <v>158</v>
      </c>
      <c r="AO12" s="14" t="s">
        <v>159</v>
      </c>
      <c r="AP12" s="14" t="s">
        <v>29</v>
      </c>
      <c r="AQ12" s="13" t="s">
        <v>30</v>
      </c>
      <c r="AR12" s="13" t="s">
        <v>31</v>
      </c>
    </row>
    <row r="13" spans="2:44" s="22" customFormat="1" ht="232.5" customHeight="1" x14ac:dyDescent="0.25">
      <c r="B13" s="15">
        <v>1</v>
      </c>
      <c r="C13" s="24" t="s">
        <v>44</v>
      </c>
      <c r="D13" s="16"/>
      <c r="E13" s="16" t="s">
        <v>45</v>
      </c>
      <c r="F13" s="16">
        <f>'T03'!BC13</f>
        <v>1016</v>
      </c>
      <c r="G13" s="23">
        <f>44+35+36+26+12+8+47+10+21+21+18+9+2+3+3+45+57+29+10+8+9+2+2+1+5+3+56+2+4+1+3+6+2+9+4+15+7+4+36+65+5+(7+7+7+3)+(5)</f>
        <v>714</v>
      </c>
      <c r="H13" s="23">
        <f>3*5+6</f>
        <v>21</v>
      </c>
      <c r="I13" s="23">
        <f>6+1</f>
        <v>7</v>
      </c>
      <c r="J13" s="23">
        <f>5*3</f>
        <v>15</v>
      </c>
      <c r="K13" s="23">
        <f>3*3</f>
        <v>9</v>
      </c>
      <c r="L13" s="23">
        <f>3*3</f>
        <v>9</v>
      </c>
      <c r="M13" s="23">
        <v>6</v>
      </c>
      <c r="N13" s="23">
        <v>1</v>
      </c>
      <c r="O13" s="23">
        <f>3*9</f>
        <v>27</v>
      </c>
      <c r="P13" s="23">
        <v>3</v>
      </c>
      <c r="Q13" s="23">
        <f>9+2</f>
        <v>11</v>
      </c>
      <c r="R13" s="23">
        <f>3*8</f>
        <v>24</v>
      </c>
      <c r="S13" s="23">
        <f>3*7</f>
        <v>21</v>
      </c>
      <c r="T13" s="23">
        <f>7*3</f>
        <v>21</v>
      </c>
      <c r="U13" s="23">
        <f>4*3</f>
        <v>12</v>
      </c>
      <c r="V13" s="23">
        <f>3</f>
        <v>3</v>
      </c>
      <c r="W13" s="25">
        <f>SUM(G13:V13)</f>
        <v>904</v>
      </c>
      <c r="X13" s="16">
        <f>3+3</f>
        <v>6</v>
      </c>
      <c r="Y13" s="16">
        <v>6</v>
      </c>
      <c r="Z13" s="16">
        <f>6+6</f>
        <v>12</v>
      </c>
      <c r="AA13" s="23">
        <v>9</v>
      </c>
      <c r="AB13" s="16">
        <f>1+3</f>
        <v>4</v>
      </c>
      <c r="AC13" s="16">
        <f>7*3</f>
        <v>21</v>
      </c>
      <c r="AD13" s="16">
        <f>3*9</f>
        <v>27</v>
      </c>
      <c r="AE13" s="16">
        <f>1</f>
        <v>1</v>
      </c>
      <c r="AF13" s="16">
        <f>3</f>
        <v>3</v>
      </c>
      <c r="AG13" s="16">
        <v>6</v>
      </c>
      <c r="AH13" s="16">
        <v>6</v>
      </c>
      <c r="AI13" s="16">
        <f>3*3</f>
        <v>9</v>
      </c>
      <c r="AJ13" s="16">
        <f>3+2</f>
        <v>5</v>
      </c>
      <c r="AK13" s="16">
        <f>3*7</f>
        <v>21</v>
      </c>
      <c r="AL13" s="16">
        <v>3</v>
      </c>
      <c r="AM13" s="23">
        <f>11*3+3</f>
        <v>36</v>
      </c>
      <c r="AN13" s="23">
        <f>3*3</f>
        <v>9</v>
      </c>
      <c r="AO13" s="23">
        <v>50</v>
      </c>
      <c r="AP13" s="25">
        <f>SUM(X13:AO13)</f>
        <v>234</v>
      </c>
      <c r="AQ13" s="25">
        <f>F13+W13-AP13</f>
        <v>1686</v>
      </c>
      <c r="AR13" s="24" t="s">
        <v>224</v>
      </c>
    </row>
    <row r="14" spans="2:44" ht="24" customHeight="1" x14ac:dyDescent="0.25">
      <c r="B14" s="15" t="s">
        <v>32</v>
      </c>
      <c r="C14" s="15"/>
      <c r="D14" s="15"/>
      <c r="E14" s="15"/>
      <c r="F14" s="8">
        <f>F13</f>
        <v>1016</v>
      </c>
      <c r="G14" s="8">
        <f t="shared" ref="G14:AQ14" si="0">G13</f>
        <v>714</v>
      </c>
      <c r="H14" s="8">
        <f t="shared" si="0"/>
        <v>21</v>
      </c>
      <c r="I14" s="8">
        <f t="shared" si="0"/>
        <v>7</v>
      </c>
      <c r="J14" s="8">
        <f t="shared" si="0"/>
        <v>15</v>
      </c>
      <c r="K14" s="8">
        <f t="shared" si="0"/>
        <v>9</v>
      </c>
      <c r="L14" s="8">
        <f t="shared" si="0"/>
        <v>9</v>
      </c>
      <c r="M14" s="8">
        <f t="shared" si="0"/>
        <v>6</v>
      </c>
      <c r="N14" s="8">
        <f t="shared" si="0"/>
        <v>1</v>
      </c>
      <c r="O14" s="8">
        <f t="shared" si="0"/>
        <v>27</v>
      </c>
      <c r="P14" s="8">
        <f t="shared" si="0"/>
        <v>3</v>
      </c>
      <c r="Q14" s="8">
        <f t="shared" si="0"/>
        <v>11</v>
      </c>
      <c r="R14" s="8">
        <f t="shared" si="0"/>
        <v>24</v>
      </c>
      <c r="S14" s="8">
        <f t="shared" si="0"/>
        <v>21</v>
      </c>
      <c r="T14" s="8">
        <f t="shared" si="0"/>
        <v>21</v>
      </c>
      <c r="U14" s="8">
        <f t="shared" si="0"/>
        <v>12</v>
      </c>
      <c r="V14" s="8">
        <f t="shared" si="0"/>
        <v>3</v>
      </c>
      <c r="W14" s="8">
        <f t="shared" si="0"/>
        <v>904</v>
      </c>
      <c r="X14" s="8">
        <f t="shared" si="0"/>
        <v>6</v>
      </c>
      <c r="Y14" s="8">
        <f t="shared" si="0"/>
        <v>6</v>
      </c>
      <c r="Z14" s="8">
        <f t="shared" si="0"/>
        <v>12</v>
      </c>
      <c r="AA14" s="8">
        <f t="shared" si="0"/>
        <v>9</v>
      </c>
      <c r="AB14" s="8">
        <f t="shared" si="0"/>
        <v>4</v>
      </c>
      <c r="AC14" s="8">
        <f t="shared" si="0"/>
        <v>21</v>
      </c>
      <c r="AD14" s="8">
        <f t="shared" si="0"/>
        <v>27</v>
      </c>
      <c r="AE14" s="8">
        <f t="shared" si="0"/>
        <v>1</v>
      </c>
      <c r="AF14" s="8">
        <f t="shared" si="0"/>
        <v>3</v>
      </c>
      <c r="AG14" s="8">
        <f t="shared" si="0"/>
        <v>6</v>
      </c>
      <c r="AH14" s="8">
        <f t="shared" si="0"/>
        <v>6</v>
      </c>
      <c r="AI14" s="8">
        <f t="shared" si="0"/>
        <v>9</v>
      </c>
      <c r="AJ14" s="8">
        <f t="shared" si="0"/>
        <v>5</v>
      </c>
      <c r="AK14" s="8">
        <f t="shared" si="0"/>
        <v>21</v>
      </c>
      <c r="AL14" s="8">
        <f t="shared" si="0"/>
        <v>3</v>
      </c>
      <c r="AM14" s="8">
        <f t="shared" si="0"/>
        <v>36</v>
      </c>
      <c r="AN14" s="8">
        <f t="shared" si="0"/>
        <v>9</v>
      </c>
      <c r="AO14" s="8">
        <f t="shared" si="0"/>
        <v>50</v>
      </c>
      <c r="AP14" s="8">
        <f t="shared" si="0"/>
        <v>234</v>
      </c>
      <c r="AQ14" s="8">
        <f t="shared" si="0"/>
        <v>1686</v>
      </c>
      <c r="AR14" s="27"/>
    </row>
    <row r="15" spans="2:44" ht="24" customHeight="1" x14ac:dyDescent="0.25">
      <c r="B15" s="17"/>
      <c r="C15" s="17"/>
      <c r="D15" s="17"/>
      <c r="E15" s="17"/>
      <c r="F15" s="18" t="s">
        <v>96</v>
      </c>
      <c r="W15" s="57" t="s">
        <v>33</v>
      </c>
      <c r="X15" s="57"/>
      <c r="Y15" s="57"/>
      <c r="Z15" s="57"/>
      <c r="AA15" s="57"/>
      <c r="AB15" s="57"/>
      <c r="AC15" s="57"/>
      <c r="AD15" s="57"/>
      <c r="AE15" s="57"/>
      <c r="AF15" s="57"/>
      <c r="AG15" s="5"/>
      <c r="AH15" s="5"/>
      <c r="AI15" s="5"/>
      <c r="AJ15" s="5"/>
      <c r="AK15" s="5"/>
      <c r="AL15" s="5"/>
      <c r="AM15" s="19"/>
      <c r="AN15" s="19"/>
      <c r="AO15" s="19"/>
      <c r="AP15" s="19"/>
    </row>
    <row r="16" spans="2:44" ht="24" customHeight="1" x14ac:dyDescent="0.25">
      <c r="B16" s="17"/>
      <c r="C16" s="17"/>
      <c r="D16" s="17"/>
      <c r="E16" s="17"/>
      <c r="F16" s="18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5"/>
      <c r="AH16" s="5"/>
      <c r="AI16" s="5"/>
      <c r="AJ16" s="5"/>
      <c r="AK16" s="5"/>
      <c r="AL16" s="5"/>
      <c r="AM16" s="19"/>
      <c r="AN16" s="19"/>
      <c r="AO16" s="19"/>
      <c r="AP16" s="19"/>
    </row>
    <row r="17" spans="2:43" ht="24" customHeight="1" x14ac:dyDescent="0.25">
      <c r="B17" s="17"/>
      <c r="C17" s="17"/>
      <c r="D17" s="17"/>
      <c r="E17" s="17"/>
    </row>
    <row r="18" spans="2:43" ht="24" customHeight="1" x14ac:dyDescent="0.25">
      <c r="B18" s="17"/>
      <c r="C18" s="17"/>
      <c r="D18" s="17"/>
      <c r="E18" s="17"/>
    </row>
    <row r="19" spans="2:43" ht="24" customHeight="1" x14ac:dyDescent="0.25">
      <c r="B19" s="17"/>
      <c r="C19" s="17"/>
      <c r="D19" s="17"/>
      <c r="E19" s="17"/>
      <c r="F19" s="19" t="s">
        <v>94</v>
      </c>
    </row>
    <row r="20" spans="2:43" ht="24" customHeight="1" x14ac:dyDescent="0.3">
      <c r="B20" s="17"/>
      <c r="C20" s="17"/>
      <c r="D20" s="17"/>
      <c r="E20" s="17"/>
      <c r="F20" s="21"/>
      <c r="W20" s="45" t="s">
        <v>92</v>
      </c>
      <c r="X20" s="45"/>
      <c r="Y20" s="45"/>
      <c r="Z20" s="45"/>
      <c r="AA20" s="45"/>
      <c r="AB20" s="45"/>
      <c r="AC20" s="45"/>
      <c r="AD20" s="45"/>
      <c r="AE20" s="45"/>
      <c r="AF20" s="45"/>
    </row>
    <row r="21" spans="2:43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43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2:43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2:43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2:43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2:43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28"/>
      <c r="AO26" s="28"/>
    </row>
    <row r="27" spans="2:43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28"/>
      <c r="AO27" s="28"/>
    </row>
    <row r="28" spans="2:43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</row>
  </sheetData>
  <sheetProtection algorithmName="SHA-512" hashValue="NizjkCRaGJNzU+Sdg+2q0MGyVwHkX+X0ZgFXLfBZCiL9WAqbeKa9T3szKDNxYA/IraEmMgWLor4yrs+K2IcfuQ==" saltValue="uwVBkWAp6PaOlhCAGZuHJw==" spinCount="100000" sheet="1" objects="1" scenarios="1"/>
  <mergeCells count="23">
    <mergeCell ref="W15:AF15"/>
    <mergeCell ref="B4:AQ4"/>
    <mergeCell ref="B5:AQ5"/>
    <mergeCell ref="B9:B11"/>
    <mergeCell ref="C9:C11"/>
    <mergeCell ref="D9:D11"/>
    <mergeCell ref="E9:E11"/>
    <mergeCell ref="G9:W9"/>
    <mergeCell ref="X9:AP9"/>
    <mergeCell ref="AR9:AR11"/>
    <mergeCell ref="F10:F11"/>
    <mergeCell ref="G10:U10"/>
    <mergeCell ref="W10:AP10"/>
    <mergeCell ref="AQ10:AQ11"/>
    <mergeCell ref="B26:AM26"/>
    <mergeCell ref="B27:AM27"/>
    <mergeCell ref="B28:AP28"/>
    <mergeCell ref="W16:AF16"/>
    <mergeCell ref="W20:AF20"/>
    <mergeCell ref="B22:AQ22"/>
    <mergeCell ref="B23:AQ23"/>
    <mergeCell ref="B24:AQ24"/>
    <mergeCell ref="B25:AQ25"/>
  </mergeCells>
  <phoneticPr fontId="12" type="noConversion"/>
  <pageMargins left="0.7" right="0.7" top="0.75" bottom="0.75" header="0.3" footer="0.3"/>
  <pageSetup paperSize="9" scale="3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5018-A6CA-46F0-BCCB-A760A1C419AE}">
  <sheetPr codeName="Sheet5">
    <pageSetUpPr fitToPage="1"/>
  </sheetPr>
  <dimension ref="A1:BB28"/>
  <sheetViews>
    <sheetView topLeftCell="A9" zoomScale="70" zoomScaleNormal="70" workbookViewId="0">
      <selection activeCell="AB13" sqref="AB13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1.42578125" style="1" customWidth="1"/>
    <col min="4" max="4" width="8.42578125" style="1" customWidth="1"/>
    <col min="5" max="5" width="7.5703125" style="1" customWidth="1"/>
    <col min="6" max="6" width="10.85546875" style="1" customWidth="1"/>
    <col min="7" max="7" width="9.140625" style="3" bestFit="1" customWidth="1"/>
    <col min="8" max="26" width="7.7109375" style="3" bestFit="1" customWidth="1"/>
    <col min="27" max="27" width="10.28515625" style="3" bestFit="1" customWidth="1"/>
    <col min="28" max="28" width="11.85546875" style="3" bestFit="1" customWidth="1"/>
    <col min="29" max="42" width="7.7109375" style="3" bestFit="1" customWidth="1"/>
    <col min="43" max="50" width="7.7109375" style="1" bestFit="1" customWidth="1"/>
    <col min="51" max="51" width="7.7109375" style="1" customWidth="1"/>
    <col min="52" max="52" width="12.140625" style="1" customWidth="1"/>
    <col min="53" max="53" width="7.7109375" style="1" customWidth="1"/>
    <col min="54" max="54" width="16" style="1" customWidth="1"/>
    <col min="55" max="283" width="8.7109375" style="1"/>
    <col min="284" max="284" width="3.7109375" style="1" customWidth="1"/>
    <col min="285" max="285" width="4.28515625" style="1" customWidth="1"/>
    <col min="286" max="286" width="11.28515625" style="1" customWidth="1"/>
    <col min="287" max="287" width="13.42578125" style="1" customWidth="1"/>
    <col min="288" max="290" width="5.42578125" style="1" customWidth="1"/>
    <col min="291" max="291" width="8.28515625" style="1" customWidth="1"/>
    <col min="292" max="294" width="4.7109375" style="1" customWidth="1"/>
    <col min="295" max="295" width="11.7109375" style="1" customWidth="1"/>
    <col min="296" max="297" width="7" style="1" customWidth="1"/>
    <col min="298" max="298" width="6.42578125" style="1" customWidth="1"/>
    <col min="299" max="299" width="15" style="1" customWidth="1"/>
    <col min="300" max="300" width="5.28515625" style="1" customWidth="1"/>
    <col min="301" max="303" width="4.7109375" style="1" customWidth="1"/>
    <col min="304" max="304" width="11.7109375" style="1" customWidth="1"/>
    <col min="305" max="305" width="10" style="1" customWidth="1"/>
    <col min="306" max="306" width="7.42578125" style="1" customWidth="1"/>
    <col min="307" max="307" width="7.140625" style="1" customWidth="1"/>
    <col min="308" max="308" width="6.42578125" style="1" customWidth="1"/>
    <col min="309" max="539" width="8.7109375" style="1"/>
    <col min="540" max="540" width="3.7109375" style="1" customWidth="1"/>
    <col min="541" max="541" width="4.28515625" style="1" customWidth="1"/>
    <col min="542" max="542" width="11.28515625" style="1" customWidth="1"/>
    <col min="543" max="543" width="13.42578125" style="1" customWidth="1"/>
    <col min="544" max="546" width="5.42578125" style="1" customWidth="1"/>
    <col min="547" max="547" width="8.28515625" style="1" customWidth="1"/>
    <col min="548" max="550" width="4.7109375" style="1" customWidth="1"/>
    <col min="551" max="551" width="11.7109375" style="1" customWidth="1"/>
    <col min="552" max="553" width="7" style="1" customWidth="1"/>
    <col min="554" max="554" width="6.42578125" style="1" customWidth="1"/>
    <col min="555" max="555" width="15" style="1" customWidth="1"/>
    <col min="556" max="556" width="5.28515625" style="1" customWidth="1"/>
    <col min="557" max="559" width="4.7109375" style="1" customWidth="1"/>
    <col min="560" max="560" width="11.7109375" style="1" customWidth="1"/>
    <col min="561" max="561" width="10" style="1" customWidth="1"/>
    <col min="562" max="562" width="7.42578125" style="1" customWidth="1"/>
    <col min="563" max="563" width="7.140625" style="1" customWidth="1"/>
    <col min="564" max="564" width="6.42578125" style="1" customWidth="1"/>
    <col min="565" max="795" width="8.7109375" style="1"/>
    <col min="796" max="796" width="3.7109375" style="1" customWidth="1"/>
    <col min="797" max="797" width="4.28515625" style="1" customWidth="1"/>
    <col min="798" max="798" width="11.28515625" style="1" customWidth="1"/>
    <col min="799" max="799" width="13.42578125" style="1" customWidth="1"/>
    <col min="800" max="802" width="5.42578125" style="1" customWidth="1"/>
    <col min="803" max="803" width="8.28515625" style="1" customWidth="1"/>
    <col min="804" max="806" width="4.7109375" style="1" customWidth="1"/>
    <col min="807" max="807" width="11.7109375" style="1" customWidth="1"/>
    <col min="808" max="809" width="7" style="1" customWidth="1"/>
    <col min="810" max="810" width="6.42578125" style="1" customWidth="1"/>
    <col min="811" max="811" width="15" style="1" customWidth="1"/>
    <col min="812" max="812" width="5.28515625" style="1" customWidth="1"/>
    <col min="813" max="815" width="4.7109375" style="1" customWidth="1"/>
    <col min="816" max="816" width="11.7109375" style="1" customWidth="1"/>
    <col min="817" max="817" width="10" style="1" customWidth="1"/>
    <col min="818" max="818" width="7.42578125" style="1" customWidth="1"/>
    <col min="819" max="819" width="7.140625" style="1" customWidth="1"/>
    <col min="820" max="820" width="6.42578125" style="1" customWidth="1"/>
    <col min="821" max="1051" width="8.7109375" style="1"/>
    <col min="1052" max="1052" width="3.7109375" style="1" customWidth="1"/>
    <col min="1053" max="1053" width="4.28515625" style="1" customWidth="1"/>
    <col min="1054" max="1054" width="11.28515625" style="1" customWidth="1"/>
    <col min="1055" max="1055" width="13.42578125" style="1" customWidth="1"/>
    <col min="1056" max="1058" width="5.42578125" style="1" customWidth="1"/>
    <col min="1059" max="1059" width="8.28515625" style="1" customWidth="1"/>
    <col min="1060" max="1062" width="4.7109375" style="1" customWidth="1"/>
    <col min="1063" max="1063" width="11.7109375" style="1" customWidth="1"/>
    <col min="1064" max="1065" width="7" style="1" customWidth="1"/>
    <col min="1066" max="1066" width="6.42578125" style="1" customWidth="1"/>
    <col min="1067" max="1067" width="15" style="1" customWidth="1"/>
    <col min="1068" max="1068" width="5.28515625" style="1" customWidth="1"/>
    <col min="1069" max="1071" width="4.7109375" style="1" customWidth="1"/>
    <col min="1072" max="1072" width="11.7109375" style="1" customWidth="1"/>
    <col min="1073" max="1073" width="10" style="1" customWidth="1"/>
    <col min="1074" max="1074" width="7.42578125" style="1" customWidth="1"/>
    <col min="1075" max="1075" width="7.140625" style="1" customWidth="1"/>
    <col min="1076" max="1076" width="6.42578125" style="1" customWidth="1"/>
    <col min="1077" max="1307" width="8.7109375" style="1"/>
    <col min="1308" max="1308" width="3.7109375" style="1" customWidth="1"/>
    <col min="1309" max="1309" width="4.28515625" style="1" customWidth="1"/>
    <col min="1310" max="1310" width="11.28515625" style="1" customWidth="1"/>
    <col min="1311" max="1311" width="13.42578125" style="1" customWidth="1"/>
    <col min="1312" max="1314" width="5.42578125" style="1" customWidth="1"/>
    <col min="1315" max="1315" width="8.28515625" style="1" customWidth="1"/>
    <col min="1316" max="1318" width="4.7109375" style="1" customWidth="1"/>
    <col min="1319" max="1319" width="11.7109375" style="1" customWidth="1"/>
    <col min="1320" max="1321" width="7" style="1" customWidth="1"/>
    <col min="1322" max="1322" width="6.42578125" style="1" customWidth="1"/>
    <col min="1323" max="1323" width="15" style="1" customWidth="1"/>
    <col min="1324" max="1324" width="5.28515625" style="1" customWidth="1"/>
    <col min="1325" max="1327" width="4.7109375" style="1" customWidth="1"/>
    <col min="1328" max="1328" width="11.7109375" style="1" customWidth="1"/>
    <col min="1329" max="1329" width="10" style="1" customWidth="1"/>
    <col min="1330" max="1330" width="7.42578125" style="1" customWidth="1"/>
    <col min="1331" max="1331" width="7.140625" style="1" customWidth="1"/>
    <col min="1332" max="1332" width="6.42578125" style="1" customWidth="1"/>
    <col min="1333" max="1563" width="8.7109375" style="1"/>
    <col min="1564" max="1564" width="3.7109375" style="1" customWidth="1"/>
    <col min="1565" max="1565" width="4.28515625" style="1" customWidth="1"/>
    <col min="1566" max="1566" width="11.28515625" style="1" customWidth="1"/>
    <col min="1567" max="1567" width="13.42578125" style="1" customWidth="1"/>
    <col min="1568" max="1570" width="5.42578125" style="1" customWidth="1"/>
    <col min="1571" max="1571" width="8.28515625" style="1" customWidth="1"/>
    <col min="1572" max="1574" width="4.7109375" style="1" customWidth="1"/>
    <col min="1575" max="1575" width="11.7109375" style="1" customWidth="1"/>
    <col min="1576" max="1577" width="7" style="1" customWidth="1"/>
    <col min="1578" max="1578" width="6.42578125" style="1" customWidth="1"/>
    <col min="1579" max="1579" width="15" style="1" customWidth="1"/>
    <col min="1580" max="1580" width="5.28515625" style="1" customWidth="1"/>
    <col min="1581" max="1583" width="4.7109375" style="1" customWidth="1"/>
    <col min="1584" max="1584" width="11.7109375" style="1" customWidth="1"/>
    <col min="1585" max="1585" width="10" style="1" customWidth="1"/>
    <col min="1586" max="1586" width="7.42578125" style="1" customWidth="1"/>
    <col min="1587" max="1587" width="7.140625" style="1" customWidth="1"/>
    <col min="1588" max="1588" width="6.42578125" style="1" customWidth="1"/>
    <col min="1589" max="1819" width="8.7109375" style="1"/>
    <col min="1820" max="1820" width="3.7109375" style="1" customWidth="1"/>
    <col min="1821" max="1821" width="4.28515625" style="1" customWidth="1"/>
    <col min="1822" max="1822" width="11.28515625" style="1" customWidth="1"/>
    <col min="1823" max="1823" width="13.42578125" style="1" customWidth="1"/>
    <col min="1824" max="1826" width="5.42578125" style="1" customWidth="1"/>
    <col min="1827" max="1827" width="8.28515625" style="1" customWidth="1"/>
    <col min="1828" max="1830" width="4.7109375" style="1" customWidth="1"/>
    <col min="1831" max="1831" width="11.7109375" style="1" customWidth="1"/>
    <col min="1832" max="1833" width="7" style="1" customWidth="1"/>
    <col min="1834" max="1834" width="6.42578125" style="1" customWidth="1"/>
    <col min="1835" max="1835" width="15" style="1" customWidth="1"/>
    <col min="1836" max="1836" width="5.28515625" style="1" customWidth="1"/>
    <col min="1837" max="1839" width="4.7109375" style="1" customWidth="1"/>
    <col min="1840" max="1840" width="11.7109375" style="1" customWidth="1"/>
    <col min="1841" max="1841" width="10" style="1" customWidth="1"/>
    <col min="1842" max="1842" width="7.42578125" style="1" customWidth="1"/>
    <col min="1843" max="1843" width="7.140625" style="1" customWidth="1"/>
    <col min="1844" max="1844" width="6.42578125" style="1" customWidth="1"/>
    <col min="1845" max="2075" width="8.7109375" style="1"/>
    <col min="2076" max="2076" width="3.7109375" style="1" customWidth="1"/>
    <col min="2077" max="2077" width="4.28515625" style="1" customWidth="1"/>
    <col min="2078" max="2078" width="11.28515625" style="1" customWidth="1"/>
    <col min="2079" max="2079" width="13.42578125" style="1" customWidth="1"/>
    <col min="2080" max="2082" width="5.42578125" style="1" customWidth="1"/>
    <col min="2083" max="2083" width="8.28515625" style="1" customWidth="1"/>
    <col min="2084" max="2086" width="4.7109375" style="1" customWidth="1"/>
    <col min="2087" max="2087" width="11.7109375" style="1" customWidth="1"/>
    <col min="2088" max="2089" width="7" style="1" customWidth="1"/>
    <col min="2090" max="2090" width="6.42578125" style="1" customWidth="1"/>
    <col min="2091" max="2091" width="15" style="1" customWidth="1"/>
    <col min="2092" max="2092" width="5.28515625" style="1" customWidth="1"/>
    <col min="2093" max="2095" width="4.7109375" style="1" customWidth="1"/>
    <col min="2096" max="2096" width="11.7109375" style="1" customWidth="1"/>
    <col min="2097" max="2097" width="10" style="1" customWidth="1"/>
    <col min="2098" max="2098" width="7.42578125" style="1" customWidth="1"/>
    <col min="2099" max="2099" width="7.140625" style="1" customWidth="1"/>
    <col min="2100" max="2100" width="6.42578125" style="1" customWidth="1"/>
    <col min="2101" max="2331" width="8.7109375" style="1"/>
    <col min="2332" max="2332" width="3.7109375" style="1" customWidth="1"/>
    <col min="2333" max="2333" width="4.28515625" style="1" customWidth="1"/>
    <col min="2334" max="2334" width="11.28515625" style="1" customWidth="1"/>
    <col min="2335" max="2335" width="13.42578125" style="1" customWidth="1"/>
    <col min="2336" max="2338" width="5.42578125" style="1" customWidth="1"/>
    <col min="2339" max="2339" width="8.28515625" style="1" customWidth="1"/>
    <col min="2340" max="2342" width="4.7109375" style="1" customWidth="1"/>
    <col min="2343" max="2343" width="11.7109375" style="1" customWidth="1"/>
    <col min="2344" max="2345" width="7" style="1" customWidth="1"/>
    <col min="2346" max="2346" width="6.42578125" style="1" customWidth="1"/>
    <col min="2347" max="2347" width="15" style="1" customWidth="1"/>
    <col min="2348" max="2348" width="5.28515625" style="1" customWidth="1"/>
    <col min="2349" max="2351" width="4.7109375" style="1" customWidth="1"/>
    <col min="2352" max="2352" width="11.7109375" style="1" customWidth="1"/>
    <col min="2353" max="2353" width="10" style="1" customWidth="1"/>
    <col min="2354" max="2354" width="7.42578125" style="1" customWidth="1"/>
    <col min="2355" max="2355" width="7.140625" style="1" customWidth="1"/>
    <col min="2356" max="2356" width="6.42578125" style="1" customWidth="1"/>
    <col min="2357" max="2587" width="8.7109375" style="1"/>
    <col min="2588" max="2588" width="3.7109375" style="1" customWidth="1"/>
    <col min="2589" max="2589" width="4.28515625" style="1" customWidth="1"/>
    <col min="2590" max="2590" width="11.28515625" style="1" customWidth="1"/>
    <col min="2591" max="2591" width="13.42578125" style="1" customWidth="1"/>
    <col min="2592" max="2594" width="5.42578125" style="1" customWidth="1"/>
    <col min="2595" max="2595" width="8.28515625" style="1" customWidth="1"/>
    <col min="2596" max="2598" width="4.7109375" style="1" customWidth="1"/>
    <col min="2599" max="2599" width="11.7109375" style="1" customWidth="1"/>
    <col min="2600" max="2601" width="7" style="1" customWidth="1"/>
    <col min="2602" max="2602" width="6.42578125" style="1" customWidth="1"/>
    <col min="2603" max="2603" width="15" style="1" customWidth="1"/>
    <col min="2604" max="2604" width="5.28515625" style="1" customWidth="1"/>
    <col min="2605" max="2607" width="4.7109375" style="1" customWidth="1"/>
    <col min="2608" max="2608" width="11.7109375" style="1" customWidth="1"/>
    <col min="2609" max="2609" width="10" style="1" customWidth="1"/>
    <col min="2610" max="2610" width="7.42578125" style="1" customWidth="1"/>
    <col min="2611" max="2611" width="7.140625" style="1" customWidth="1"/>
    <col min="2612" max="2612" width="6.42578125" style="1" customWidth="1"/>
    <col min="2613" max="2843" width="8.7109375" style="1"/>
    <col min="2844" max="2844" width="3.7109375" style="1" customWidth="1"/>
    <col min="2845" max="2845" width="4.28515625" style="1" customWidth="1"/>
    <col min="2846" max="2846" width="11.28515625" style="1" customWidth="1"/>
    <col min="2847" max="2847" width="13.42578125" style="1" customWidth="1"/>
    <col min="2848" max="2850" width="5.42578125" style="1" customWidth="1"/>
    <col min="2851" max="2851" width="8.28515625" style="1" customWidth="1"/>
    <col min="2852" max="2854" width="4.7109375" style="1" customWidth="1"/>
    <col min="2855" max="2855" width="11.7109375" style="1" customWidth="1"/>
    <col min="2856" max="2857" width="7" style="1" customWidth="1"/>
    <col min="2858" max="2858" width="6.42578125" style="1" customWidth="1"/>
    <col min="2859" max="2859" width="15" style="1" customWidth="1"/>
    <col min="2860" max="2860" width="5.28515625" style="1" customWidth="1"/>
    <col min="2861" max="2863" width="4.7109375" style="1" customWidth="1"/>
    <col min="2864" max="2864" width="11.7109375" style="1" customWidth="1"/>
    <col min="2865" max="2865" width="10" style="1" customWidth="1"/>
    <col min="2866" max="2866" width="7.42578125" style="1" customWidth="1"/>
    <col min="2867" max="2867" width="7.140625" style="1" customWidth="1"/>
    <col min="2868" max="2868" width="6.42578125" style="1" customWidth="1"/>
    <col min="2869" max="3099" width="8.7109375" style="1"/>
    <col min="3100" max="3100" width="3.7109375" style="1" customWidth="1"/>
    <col min="3101" max="3101" width="4.28515625" style="1" customWidth="1"/>
    <col min="3102" max="3102" width="11.28515625" style="1" customWidth="1"/>
    <col min="3103" max="3103" width="13.42578125" style="1" customWidth="1"/>
    <col min="3104" max="3106" width="5.42578125" style="1" customWidth="1"/>
    <col min="3107" max="3107" width="8.28515625" style="1" customWidth="1"/>
    <col min="3108" max="3110" width="4.7109375" style="1" customWidth="1"/>
    <col min="3111" max="3111" width="11.7109375" style="1" customWidth="1"/>
    <col min="3112" max="3113" width="7" style="1" customWidth="1"/>
    <col min="3114" max="3114" width="6.42578125" style="1" customWidth="1"/>
    <col min="3115" max="3115" width="15" style="1" customWidth="1"/>
    <col min="3116" max="3116" width="5.28515625" style="1" customWidth="1"/>
    <col min="3117" max="3119" width="4.7109375" style="1" customWidth="1"/>
    <col min="3120" max="3120" width="11.7109375" style="1" customWidth="1"/>
    <col min="3121" max="3121" width="10" style="1" customWidth="1"/>
    <col min="3122" max="3122" width="7.42578125" style="1" customWidth="1"/>
    <col min="3123" max="3123" width="7.140625" style="1" customWidth="1"/>
    <col min="3124" max="3124" width="6.42578125" style="1" customWidth="1"/>
    <col min="3125" max="3355" width="8.7109375" style="1"/>
    <col min="3356" max="3356" width="3.7109375" style="1" customWidth="1"/>
    <col min="3357" max="3357" width="4.28515625" style="1" customWidth="1"/>
    <col min="3358" max="3358" width="11.28515625" style="1" customWidth="1"/>
    <col min="3359" max="3359" width="13.42578125" style="1" customWidth="1"/>
    <col min="3360" max="3362" width="5.42578125" style="1" customWidth="1"/>
    <col min="3363" max="3363" width="8.28515625" style="1" customWidth="1"/>
    <col min="3364" max="3366" width="4.7109375" style="1" customWidth="1"/>
    <col min="3367" max="3367" width="11.7109375" style="1" customWidth="1"/>
    <col min="3368" max="3369" width="7" style="1" customWidth="1"/>
    <col min="3370" max="3370" width="6.42578125" style="1" customWidth="1"/>
    <col min="3371" max="3371" width="15" style="1" customWidth="1"/>
    <col min="3372" max="3372" width="5.28515625" style="1" customWidth="1"/>
    <col min="3373" max="3375" width="4.7109375" style="1" customWidth="1"/>
    <col min="3376" max="3376" width="11.7109375" style="1" customWidth="1"/>
    <col min="3377" max="3377" width="10" style="1" customWidth="1"/>
    <col min="3378" max="3378" width="7.42578125" style="1" customWidth="1"/>
    <col min="3379" max="3379" width="7.140625" style="1" customWidth="1"/>
    <col min="3380" max="3380" width="6.42578125" style="1" customWidth="1"/>
    <col min="3381" max="3611" width="8.7109375" style="1"/>
    <col min="3612" max="3612" width="3.7109375" style="1" customWidth="1"/>
    <col min="3613" max="3613" width="4.28515625" style="1" customWidth="1"/>
    <col min="3614" max="3614" width="11.28515625" style="1" customWidth="1"/>
    <col min="3615" max="3615" width="13.42578125" style="1" customWidth="1"/>
    <col min="3616" max="3618" width="5.42578125" style="1" customWidth="1"/>
    <col min="3619" max="3619" width="8.28515625" style="1" customWidth="1"/>
    <col min="3620" max="3622" width="4.7109375" style="1" customWidth="1"/>
    <col min="3623" max="3623" width="11.7109375" style="1" customWidth="1"/>
    <col min="3624" max="3625" width="7" style="1" customWidth="1"/>
    <col min="3626" max="3626" width="6.42578125" style="1" customWidth="1"/>
    <col min="3627" max="3627" width="15" style="1" customWidth="1"/>
    <col min="3628" max="3628" width="5.28515625" style="1" customWidth="1"/>
    <col min="3629" max="3631" width="4.7109375" style="1" customWidth="1"/>
    <col min="3632" max="3632" width="11.7109375" style="1" customWidth="1"/>
    <col min="3633" max="3633" width="10" style="1" customWidth="1"/>
    <col min="3634" max="3634" width="7.42578125" style="1" customWidth="1"/>
    <col min="3635" max="3635" width="7.140625" style="1" customWidth="1"/>
    <col min="3636" max="3636" width="6.42578125" style="1" customWidth="1"/>
    <col min="3637" max="3867" width="8.7109375" style="1"/>
    <col min="3868" max="3868" width="3.7109375" style="1" customWidth="1"/>
    <col min="3869" max="3869" width="4.28515625" style="1" customWidth="1"/>
    <col min="3870" max="3870" width="11.28515625" style="1" customWidth="1"/>
    <col min="3871" max="3871" width="13.42578125" style="1" customWidth="1"/>
    <col min="3872" max="3874" width="5.42578125" style="1" customWidth="1"/>
    <col min="3875" max="3875" width="8.28515625" style="1" customWidth="1"/>
    <col min="3876" max="3878" width="4.7109375" style="1" customWidth="1"/>
    <col min="3879" max="3879" width="11.7109375" style="1" customWidth="1"/>
    <col min="3880" max="3881" width="7" style="1" customWidth="1"/>
    <col min="3882" max="3882" width="6.42578125" style="1" customWidth="1"/>
    <col min="3883" max="3883" width="15" style="1" customWidth="1"/>
    <col min="3884" max="3884" width="5.28515625" style="1" customWidth="1"/>
    <col min="3885" max="3887" width="4.7109375" style="1" customWidth="1"/>
    <col min="3888" max="3888" width="11.7109375" style="1" customWidth="1"/>
    <col min="3889" max="3889" width="10" style="1" customWidth="1"/>
    <col min="3890" max="3890" width="7.42578125" style="1" customWidth="1"/>
    <col min="3891" max="3891" width="7.140625" style="1" customWidth="1"/>
    <col min="3892" max="3892" width="6.42578125" style="1" customWidth="1"/>
    <col min="3893" max="4123" width="8.7109375" style="1"/>
    <col min="4124" max="4124" width="3.7109375" style="1" customWidth="1"/>
    <col min="4125" max="4125" width="4.28515625" style="1" customWidth="1"/>
    <col min="4126" max="4126" width="11.28515625" style="1" customWidth="1"/>
    <col min="4127" max="4127" width="13.42578125" style="1" customWidth="1"/>
    <col min="4128" max="4130" width="5.42578125" style="1" customWidth="1"/>
    <col min="4131" max="4131" width="8.28515625" style="1" customWidth="1"/>
    <col min="4132" max="4134" width="4.7109375" style="1" customWidth="1"/>
    <col min="4135" max="4135" width="11.7109375" style="1" customWidth="1"/>
    <col min="4136" max="4137" width="7" style="1" customWidth="1"/>
    <col min="4138" max="4138" width="6.42578125" style="1" customWidth="1"/>
    <col min="4139" max="4139" width="15" style="1" customWidth="1"/>
    <col min="4140" max="4140" width="5.28515625" style="1" customWidth="1"/>
    <col min="4141" max="4143" width="4.7109375" style="1" customWidth="1"/>
    <col min="4144" max="4144" width="11.7109375" style="1" customWidth="1"/>
    <col min="4145" max="4145" width="10" style="1" customWidth="1"/>
    <col min="4146" max="4146" width="7.42578125" style="1" customWidth="1"/>
    <col min="4147" max="4147" width="7.140625" style="1" customWidth="1"/>
    <col min="4148" max="4148" width="6.42578125" style="1" customWidth="1"/>
    <col min="4149" max="4379" width="8.7109375" style="1"/>
    <col min="4380" max="4380" width="3.7109375" style="1" customWidth="1"/>
    <col min="4381" max="4381" width="4.28515625" style="1" customWidth="1"/>
    <col min="4382" max="4382" width="11.28515625" style="1" customWidth="1"/>
    <col min="4383" max="4383" width="13.42578125" style="1" customWidth="1"/>
    <col min="4384" max="4386" width="5.42578125" style="1" customWidth="1"/>
    <col min="4387" max="4387" width="8.28515625" style="1" customWidth="1"/>
    <col min="4388" max="4390" width="4.7109375" style="1" customWidth="1"/>
    <col min="4391" max="4391" width="11.7109375" style="1" customWidth="1"/>
    <col min="4392" max="4393" width="7" style="1" customWidth="1"/>
    <col min="4394" max="4394" width="6.42578125" style="1" customWidth="1"/>
    <col min="4395" max="4395" width="15" style="1" customWidth="1"/>
    <col min="4396" max="4396" width="5.28515625" style="1" customWidth="1"/>
    <col min="4397" max="4399" width="4.7109375" style="1" customWidth="1"/>
    <col min="4400" max="4400" width="11.7109375" style="1" customWidth="1"/>
    <col min="4401" max="4401" width="10" style="1" customWidth="1"/>
    <col min="4402" max="4402" width="7.42578125" style="1" customWidth="1"/>
    <col min="4403" max="4403" width="7.140625" style="1" customWidth="1"/>
    <col min="4404" max="4404" width="6.42578125" style="1" customWidth="1"/>
    <col min="4405" max="4635" width="8.7109375" style="1"/>
    <col min="4636" max="4636" width="3.7109375" style="1" customWidth="1"/>
    <col min="4637" max="4637" width="4.28515625" style="1" customWidth="1"/>
    <col min="4638" max="4638" width="11.28515625" style="1" customWidth="1"/>
    <col min="4639" max="4639" width="13.42578125" style="1" customWidth="1"/>
    <col min="4640" max="4642" width="5.42578125" style="1" customWidth="1"/>
    <col min="4643" max="4643" width="8.28515625" style="1" customWidth="1"/>
    <col min="4644" max="4646" width="4.7109375" style="1" customWidth="1"/>
    <col min="4647" max="4647" width="11.7109375" style="1" customWidth="1"/>
    <col min="4648" max="4649" width="7" style="1" customWidth="1"/>
    <col min="4650" max="4650" width="6.42578125" style="1" customWidth="1"/>
    <col min="4651" max="4651" width="15" style="1" customWidth="1"/>
    <col min="4652" max="4652" width="5.28515625" style="1" customWidth="1"/>
    <col min="4653" max="4655" width="4.7109375" style="1" customWidth="1"/>
    <col min="4656" max="4656" width="11.7109375" style="1" customWidth="1"/>
    <col min="4657" max="4657" width="10" style="1" customWidth="1"/>
    <col min="4658" max="4658" width="7.42578125" style="1" customWidth="1"/>
    <col min="4659" max="4659" width="7.140625" style="1" customWidth="1"/>
    <col min="4660" max="4660" width="6.42578125" style="1" customWidth="1"/>
    <col min="4661" max="4891" width="8.7109375" style="1"/>
    <col min="4892" max="4892" width="3.7109375" style="1" customWidth="1"/>
    <col min="4893" max="4893" width="4.28515625" style="1" customWidth="1"/>
    <col min="4894" max="4894" width="11.28515625" style="1" customWidth="1"/>
    <col min="4895" max="4895" width="13.42578125" style="1" customWidth="1"/>
    <col min="4896" max="4898" width="5.42578125" style="1" customWidth="1"/>
    <col min="4899" max="4899" width="8.28515625" style="1" customWidth="1"/>
    <col min="4900" max="4902" width="4.7109375" style="1" customWidth="1"/>
    <col min="4903" max="4903" width="11.7109375" style="1" customWidth="1"/>
    <col min="4904" max="4905" width="7" style="1" customWidth="1"/>
    <col min="4906" max="4906" width="6.42578125" style="1" customWidth="1"/>
    <col min="4907" max="4907" width="15" style="1" customWidth="1"/>
    <col min="4908" max="4908" width="5.28515625" style="1" customWidth="1"/>
    <col min="4909" max="4911" width="4.7109375" style="1" customWidth="1"/>
    <col min="4912" max="4912" width="11.7109375" style="1" customWidth="1"/>
    <col min="4913" max="4913" width="10" style="1" customWidth="1"/>
    <col min="4914" max="4914" width="7.42578125" style="1" customWidth="1"/>
    <col min="4915" max="4915" width="7.140625" style="1" customWidth="1"/>
    <col min="4916" max="4916" width="6.42578125" style="1" customWidth="1"/>
    <col min="4917" max="5147" width="8.7109375" style="1"/>
    <col min="5148" max="5148" width="3.7109375" style="1" customWidth="1"/>
    <col min="5149" max="5149" width="4.28515625" style="1" customWidth="1"/>
    <col min="5150" max="5150" width="11.28515625" style="1" customWidth="1"/>
    <col min="5151" max="5151" width="13.42578125" style="1" customWidth="1"/>
    <col min="5152" max="5154" width="5.42578125" style="1" customWidth="1"/>
    <col min="5155" max="5155" width="8.28515625" style="1" customWidth="1"/>
    <col min="5156" max="5158" width="4.7109375" style="1" customWidth="1"/>
    <col min="5159" max="5159" width="11.7109375" style="1" customWidth="1"/>
    <col min="5160" max="5161" width="7" style="1" customWidth="1"/>
    <col min="5162" max="5162" width="6.42578125" style="1" customWidth="1"/>
    <col min="5163" max="5163" width="15" style="1" customWidth="1"/>
    <col min="5164" max="5164" width="5.28515625" style="1" customWidth="1"/>
    <col min="5165" max="5167" width="4.7109375" style="1" customWidth="1"/>
    <col min="5168" max="5168" width="11.7109375" style="1" customWidth="1"/>
    <col min="5169" max="5169" width="10" style="1" customWidth="1"/>
    <col min="5170" max="5170" width="7.42578125" style="1" customWidth="1"/>
    <col min="5171" max="5171" width="7.140625" style="1" customWidth="1"/>
    <col min="5172" max="5172" width="6.42578125" style="1" customWidth="1"/>
    <col min="5173" max="5403" width="8.7109375" style="1"/>
    <col min="5404" max="5404" width="3.7109375" style="1" customWidth="1"/>
    <col min="5405" max="5405" width="4.28515625" style="1" customWidth="1"/>
    <col min="5406" max="5406" width="11.28515625" style="1" customWidth="1"/>
    <col min="5407" max="5407" width="13.42578125" style="1" customWidth="1"/>
    <col min="5408" max="5410" width="5.42578125" style="1" customWidth="1"/>
    <col min="5411" max="5411" width="8.28515625" style="1" customWidth="1"/>
    <col min="5412" max="5414" width="4.7109375" style="1" customWidth="1"/>
    <col min="5415" max="5415" width="11.7109375" style="1" customWidth="1"/>
    <col min="5416" max="5417" width="7" style="1" customWidth="1"/>
    <col min="5418" max="5418" width="6.42578125" style="1" customWidth="1"/>
    <col min="5419" max="5419" width="15" style="1" customWidth="1"/>
    <col min="5420" max="5420" width="5.28515625" style="1" customWidth="1"/>
    <col min="5421" max="5423" width="4.7109375" style="1" customWidth="1"/>
    <col min="5424" max="5424" width="11.7109375" style="1" customWidth="1"/>
    <col min="5425" max="5425" width="10" style="1" customWidth="1"/>
    <col min="5426" max="5426" width="7.42578125" style="1" customWidth="1"/>
    <col min="5427" max="5427" width="7.140625" style="1" customWidth="1"/>
    <col min="5428" max="5428" width="6.42578125" style="1" customWidth="1"/>
    <col min="5429" max="5659" width="8.7109375" style="1"/>
    <col min="5660" max="5660" width="3.7109375" style="1" customWidth="1"/>
    <col min="5661" max="5661" width="4.28515625" style="1" customWidth="1"/>
    <col min="5662" max="5662" width="11.28515625" style="1" customWidth="1"/>
    <col min="5663" max="5663" width="13.42578125" style="1" customWidth="1"/>
    <col min="5664" max="5666" width="5.42578125" style="1" customWidth="1"/>
    <col min="5667" max="5667" width="8.28515625" style="1" customWidth="1"/>
    <col min="5668" max="5670" width="4.7109375" style="1" customWidth="1"/>
    <col min="5671" max="5671" width="11.7109375" style="1" customWidth="1"/>
    <col min="5672" max="5673" width="7" style="1" customWidth="1"/>
    <col min="5674" max="5674" width="6.42578125" style="1" customWidth="1"/>
    <col min="5675" max="5675" width="15" style="1" customWidth="1"/>
    <col min="5676" max="5676" width="5.28515625" style="1" customWidth="1"/>
    <col min="5677" max="5679" width="4.7109375" style="1" customWidth="1"/>
    <col min="5680" max="5680" width="11.7109375" style="1" customWidth="1"/>
    <col min="5681" max="5681" width="10" style="1" customWidth="1"/>
    <col min="5682" max="5682" width="7.42578125" style="1" customWidth="1"/>
    <col min="5683" max="5683" width="7.140625" style="1" customWidth="1"/>
    <col min="5684" max="5684" width="6.42578125" style="1" customWidth="1"/>
    <col min="5685" max="5915" width="8.7109375" style="1"/>
    <col min="5916" max="5916" width="3.7109375" style="1" customWidth="1"/>
    <col min="5917" max="5917" width="4.28515625" style="1" customWidth="1"/>
    <col min="5918" max="5918" width="11.28515625" style="1" customWidth="1"/>
    <col min="5919" max="5919" width="13.42578125" style="1" customWidth="1"/>
    <col min="5920" max="5922" width="5.42578125" style="1" customWidth="1"/>
    <col min="5923" max="5923" width="8.28515625" style="1" customWidth="1"/>
    <col min="5924" max="5926" width="4.7109375" style="1" customWidth="1"/>
    <col min="5927" max="5927" width="11.7109375" style="1" customWidth="1"/>
    <col min="5928" max="5929" width="7" style="1" customWidth="1"/>
    <col min="5930" max="5930" width="6.42578125" style="1" customWidth="1"/>
    <col min="5931" max="5931" width="15" style="1" customWidth="1"/>
    <col min="5932" max="5932" width="5.28515625" style="1" customWidth="1"/>
    <col min="5933" max="5935" width="4.7109375" style="1" customWidth="1"/>
    <col min="5936" max="5936" width="11.7109375" style="1" customWidth="1"/>
    <col min="5937" max="5937" width="10" style="1" customWidth="1"/>
    <col min="5938" max="5938" width="7.42578125" style="1" customWidth="1"/>
    <col min="5939" max="5939" width="7.140625" style="1" customWidth="1"/>
    <col min="5940" max="5940" width="6.42578125" style="1" customWidth="1"/>
    <col min="5941" max="6171" width="8.7109375" style="1"/>
    <col min="6172" max="6172" width="3.7109375" style="1" customWidth="1"/>
    <col min="6173" max="6173" width="4.28515625" style="1" customWidth="1"/>
    <col min="6174" max="6174" width="11.28515625" style="1" customWidth="1"/>
    <col min="6175" max="6175" width="13.42578125" style="1" customWidth="1"/>
    <col min="6176" max="6178" width="5.42578125" style="1" customWidth="1"/>
    <col min="6179" max="6179" width="8.28515625" style="1" customWidth="1"/>
    <col min="6180" max="6182" width="4.7109375" style="1" customWidth="1"/>
    <col min="6183" max="6183" width="11.7109375" style="1" customWidth="1"/>
    <col min="6184" max="6185" width="7" style="1" customWidth="1"/>
    <col min="6186" max="6186" width="6.42578125" style="1" customWidth="1"/>
    <col min="6187" max="6187" width="15" style="1" customWidth="1"/>
    <col min="6188" max="6188" width="5.28515625" style="1" customWidth="1"/>
    <col min="6189" max="6191" width="4.7109375" style="1" customWidth="1"/>
    <col min="6192" max="6192" width="11.7109375" style="1" customWidth="1"/>
    <col min="6193" max="6193" width="10" style="1" customWidth="1"/>
    <col min="6194" max="6194" width="7.42578125" style="1" customWidth="1"/>
    <col min="6195" max="6195" width="7.140625" style="1" customWidth="1"/>
    <col min="6196" max="6196" width="6.42578125" style="1" customWidth="1"/>
    <col min="6197" max="6427" width="8.7109375" style="1"/>
    <col min="6428" max="6428" width="3.7109375" style="1" customWidth="1"/>
    <col min="6429" max="6429" width="4.28515625" style="1" customWidth="1"/>
    <col min="6430" max="6430" width="11.28515625" style="1" customWidth="1"/>
    <col min="6431" max="6431" width="13.42578125" style="1" customWidth="1"/>
    <col min="6432" max="6434" width="5.42578125" style="1" customWidth="1"/>
    <col min="6435" max="6435" width="8.28515625" style="1" customWidth="1"/>
    <col min="6436" max="6438" width="4.7109375" style="1" customWidth="1"/>
    <col min="6439" max="6439" width="11.7109375" style="1" customWidth="1"/>
    <col min="6440" max="6441" width="7" style="1" customWidth="1"/>
    <col min="6442" max="6442" width="6.42578125" style="1" customWidth="1"/>
    <col min="6443" max="6443" width="15" style="1" customWidth="1"/>
    <col min="6444" max="6444" width="5.28515625" style="1" customWidth="1"/>
    <col min="6445" max="6447" width="4.7109375" style="1" customWidth="1"/>
    <col min="6448" max="6448" width="11.7109375" style="1" customWidth="1"/>
    <col min="6449" max="6449" width="10" style="1" customWidth="1"/>
    <col min="6450" max="6450" width="7.42578125" style="1" customWidth="1"/>
    <col min="6451" max="6451" width="7.140625" style="1" customWidth="1"/>
    <col min="6452" max="6452" width="6.42578125" style="1" customWidth="1"/>
    <col min="6453" max="6683" width="8.7109375" style="1"/>
    <col min="6684" max="6684" width="3.7109375" style="1" customWidth="1"/>
    <col min="6685" max="6685" width="4.28515625" style="1" customWidth="1"/>
    <col min="6686" max="6686" width="11.28515625" style="1" customWidth="1"/>
    <col min="6687" max="6687" width="13.42578125" style="1" customWidth="1"/>
    <col min="6688" max="6690" width="5.42578125" style="1" customWidth="1"/>
    <col min="6691" max="6691" width="8.28515625" style="1" customWidth="1"/>
    <col min="6692" max="6694" width="4.7109375" style="1" customWidth="1"/>
    <col min="6695" max="6695" width="11.7109375" style="1" customWidth="1"/>
    <col min="6696" max="6697" width="7" style="1" customWidth="1"/>
    <col min="6698" max="6698" width="6.42578125" style="1" customWidth="1"/>
    <col min="6699" max="6699" width="15" style="1" customWidth="1"/>
    <col min="6700" max="6700" width="5.28515625" style="1" customWidth="1"/>
    <col min="6701" max="6703" width="4.7109375" style="1" customWidth="1"/>
    <col min="6704" max="6704" width="11.7109375" style="1" customWidth="1"/>
    <col min="6705" max="6705" width="10" style="1" customWidth="1"/>
    <col min="6706" max="6706" width="7.42578125" style="1" customWidth="1"/>
    <col min="6707" max="6707" width="7.140625" style="1" customWidth="1"/>
    <col min="6708" max="6708" width="6.42578125" style="1" customWidth="1"/>
    <col min="6709" max="6939" width="8.7109375" style="1"/>
    <col min="6940" max="6940" width="3.7109375" style="1" customWidth="1"/>
    <col min="6941" max="6941" width="4.28515625" style="1" customWidth="1"/>
    <col min="6942" max="6942" width="11.28515625" style="1" customWidth="1"/>
    <col min="6943" max="6943" width="13.42578125" style="1" customWidth="1"/>
    <col min="6944" max="6946" width="5.42578125" style="1" customWidth="1"/>
    <col min="6947" max="6947" width="8.28515625" style="1" customWidth="1"/>
    <col min="6948" max="6950" width="4.7109375" style="1" customWidth="1"/>
    <col min="6951" max="6951" width="11.7109375" style="1" customWidth="1"/>
    <col min="6952" max="6953" width="7" style="1" customWidth="1"/>
    <col min="6954" max="6954" width="6.42578125" style="1" customWidth="1"/>
    <col min="6955" max="6955" width="15" style="1" customWidth="1"/>
    <col min="6956" max="6956" width="5.28515625" style="1" customWidth="1"/>
    <col min="6957" max="6959" width="4.7109375" style="1" customWidth="1"/>
    <col min="6960" max="6960" width="11.7109375" style="1" customWidth="1"/>
    <col min="6961" max="6961" width="10" style="1" customWidth="1"/>
    <col min="6962" max="6962" width="7.42578125" style="1" customWidth="1"/>
    <col min="6963" max="6963" width="7.140625" style="1" customWidth="1"/>
    <col min="6964" max="6964" width="6.42578125" style="1" customWidth="1"/>
    <col min="6965" max="7195" width="8.7109375" style="1"/>
    <col min="7196" max="7196" width="3.7109375" style="1" customWidth="1"/>
    <col min="7197" max="7197" width="4.28515625" style="1" customWidth="1"/>
    <col min="7198" max="7198" width="11.28515625" style="1" customWidth="1"/>
    <col min="7199" max="7199" width="13.42578125" style="1" customWidth="1"/>
    <col min="7200" max="7202" width="5.42578125" style="1" customWidth="1"/>
    <col min="7203" max="7203" width="8.28515625" style="1" customWidth="1"/>
    <col min="7204" max="7206" width="4.7109375" style="1" customWidth="1"/>
    <col min="7207" max="7207" width="11.7109375" style="1" customWidth="1"/>
    <col min="7208" max="7209" width="7" style="1" customWidth="1"/>
    <col min="7210" max="7210" width="6.42578125" style="1" customWidth="1"/>
    <col min="7211" max="7211" width="15" style="1" customWidth="1"/>
    <col min="7212" max="7212" width="5.28515625" style="1" customWidth="1"/>
    <col min="7213" max="7215" width="4.7109375" style="1" customWidth="1"/>
    <col min="7216" max="7216" width="11.7109375" style="1" customWidth="1"/>
    <col min="7217" max="7217" width="10" style="1" customWidth="1"/>
    <col min="7218" max="7218" width="7.42578125" style="1" customWidth="1"/>
    <col min="7219" max="7219" width="7.140625" style="1" customWidth="1"/>
    <col min="7220" max="7220" width="6.42578125" style="1" customWidth="1"/>
    <col min="7221" max="7451" width="8.7109375" style="1"/>
    <col min="7452" max="7452" width="3.7109375" style="1" customWidth="1"/>
    <col min="7453" max="7453" width="4.28515625" style="1" customWidth="1"/>
    <col min="7454" max="7454" width="11.28515625" style="1" customWidth="1"/>
    <col min="7455" max="7455" width="13.42578125" style="1" customWidth="1"/>
    <col min="7456" max="7458" width="5.42578125" style="1" customWidth="1"/>
    <col min="7459" max="7459" width="8.28515625" style="1" customWidth="1"/>
    <col min="7460" max="7462" width="4.7109375" style="1" customWidth="1"/>
    <col min="7463" max="7463" width="11.7109375" style="1" customWidth="1"/>
    <col min="7464" max="7465" width="7" style="1" customWidth="1"/>
    <col min="7466" max="7466" width="6.42578125" style="1" customWidth="1"/>
    <col min="7467" max="7467" width="15" style="1" customWidth="1"/>
    <col min="7468" max="7468" width="5.28515625" style="1" customWidth="1"/>
    <col min="7469" max="7471" width="4.7109375" style="1" customWidth="1"/>
    <col min="7472" max="7472" width="11.7109375" style="1" customWidth="1"/>
    <col min="7473" max="7473" width="10" style="1" customWidth="1"/>
    <col min="7474" max="7474" width="7.42578125" style="1" customWidth="1"/>
    <col min="7475" max="7475" width="7.140625" style="1" customWidth="1"/>
    <col min="7476" max="7476" width="6.42578125" style="1" customWidth="1"/>
    <col min="7477" max="7707" width="8.7109375" style="1"/>
    <col min="7708" max="7708" width="3.7109375" style="1" customWidth="1"/>
    <col min="7709" max="7709" width="4.28515625" style="1" customWidth="1"/>
    <col min="7710" max="7710" width="11.28515625" style="1" customWidth="1"/>
    <col min="7711" max="7711" width="13.42578125" style="1" customWidth="1"/>
    <col min="7712" max="7714" width="5.42578125" style="1" customWidth="1"/>
    <col min="7715" max="7715" width="8.28515625" style="1" customWidth="1"/>
    <col min="7716" max="7718" width="4.7109375" style="1" customWidth="1"/>
    <col min="7719" max="7719" width="11.7109375" style="1" customWidth="1"/>
    <col min="7720" max="7721" width="7" style="1" customWidth="1"/>
    <col min="7722" max="7722" width="6.42578125" style="1" customWidth="1"/>
    <col min="7723" max="7723" width="15" style="1" customWidth="1"/>
    <col min="7724" max="7724" width="5.28515625" style="1" customWidth="1"/>
    <col min="7725" max="7727" width="4.7109375" style="1" customWidth="1"/>
    <col min="7728" max="7728" width="11.7109375" style="1" customWidth="1"/>
    <col min="7729" max="7729" width="10" style="1" customWidth="1"/>
    <col min="7730" max="7730" width="7.42578125" style="1" customWidth="1"/>
    <col min="7731" max="7731" width="7.140625" style="1" customWidth="1"/>
    <col min="7732" max="7732" width="6.42578125" style="1" customWidth="1"/>
    <col min="7733" max="7963" width="8.7109375" style="1"/>
    <col min="7964" max="7964" width="3.7109375" style="1" customWidth="1"/>
    <col min="7965" max="7965" width="4.28515625" style="1" customWidth="1"/>
    <col min="7966" max="7966" width="11.28515625" style="1" customWidth="1"/>
    <col min="7967" max="7967" width="13.42578125" style="1" customWidth="1"/>
    <col min="7968" max="7970" width="5.42578125" style="1" customWidth="1"/>
    <col min="7971" max="7971" width="8.28515625" style="1" customWidth="1"/>
    <col min="7972" max="7974" width="4.7109375" style="1" customWidth="1"/>
    <col min="7975" max="7975" width="11.7109375" style="1" customWidth="1"/>
    <col min="7976" max="7977" width="7" style="1" customWidth="1"/>
    <col min="7978" max="7978" width="6.42578125" style="1" customWidth="1"/>
    <col min="7979" max="7979" width="15" style="1" customWidth="1"/>
    <col min="7980" max="7980" width="5.28515625" style="1" customWidth="1"/>
    <col min="7981" max="7983" width="4.7109375" style="1" customWidth="1"/>
    <col min="7984" max="7984" width="11.7109375" style="1" customWidth="1"/>
    <col min="7985" max="7985" width="10" style="1" customWidth="1"/>
    <col min="7986" max="7986" width="7.42578125" style="1" customWidth="1"/>
    <col min="7987" max="7987" width="7.140625" style="1" customWidth="1"/>
    <col min="7988" max="7988" width="6.42578125" style="1" customWidth="1"/>
    <col min="7989" max="8219" width="8.7109375" style="1"/>
    <col min="8220" max="8220" width="3.7109375" style="1" customWidth="1"/>
    <col min="8221" max="8221" width="4.28515625" style="1" customWidth="1"/>
    <col min="8222" max="8222" width="11.28515625" style="1" customWidth="1"/>
    <col min="8223" max="8223" width="13.42578125" style="1" customWidth="1"/>
    <col min="8224" max="8226" width="5.42578125" style="1" customWidth="1"/>
    <col min="8227" max="8227" width="8.28515625" style="1" customWidth="1"/>
    <col min="8228" max="8230" width="4.7109375" style="1" customWidth="1"/>
    <col min="8231" max="8231" width="11.7109375" style="1" customWidth="1"/>
    <col min="8232" max="8233" width="7" style="1" customWidth="1"/>
    <col min="8234" max="8234" width="6.42578125" style="1" customWidth="1"/>
    <col min="8235" max="8235" width="15" style="1" customWidth="1"/>
    <col min="8236" max="8236" width="5.28515625" style="1" customWidth="1"/>
    <col min="8237" max="8239" width="4.7109375" style="1" customWidth="1"/>
    <col min="8240" max="8240" width="11.7109375" style="1" customWidth="1"/>
    <col min="8241" max="8241" width="10" style="1" customWidth="1"/>
    <col min="8242" max="8242" width="7.42578125" style="1" customWidth="1"/>
    <col min="8243" max="8243" width="7.140625" style="1" customWidth="1"/>
    <col min="8244" max="8244" width="6.42578125" style="1" customWidth="1"/>
    <col min="8245" max="8475" width="8.7109375" style="1"/>
    <col min="8476" max="8476" width="3.7109375" style="1" customWidth="1"/>
    <col min="8477" max="8477" width="4.28515625" style="1" customWidth="1"/>
    <col min="8478" max="8478" width="11.28515625" style="1" customWidth="1"/>
    <col min="8479" max="8479" width="13.42578125" style="1" customWidth="1"/>
    <col min="8480" max="8482" width="5.42578125" style="1" customWidth="1"/>
    <col min="8483" max="8483" width="8.28515625" style="1" customWidth="1"/>
    <col min="8484" max="8486" width="4.7109375" style="1" customWidth="1"/>
    <col min="8487" max="8487" width="11.7109375" style="1" customWidth="1"/>
    <col min="8488" max="8489" width="7" style="1" customWidth="1"/>
    <col min="8490" max="8490" width="6.42578125" style="1" customWidth="1"/>
    <col min="8491" max="8491" width="15" style="1" customWidth="1"/>
    <col min="8492" max="8492" width="5.28515625" style="1" customWidth="1"/>
    <col min="8493" max="8495" width="4.7109375" style="1" customWidth="1"/>
    <col min="8496" max="8496" width="11.7109375" style="1" customWidth="1"/>
    <col min="8497" max="8497" width="10" style="1" customWidth="1"/>
    <col min="8498" max="8498" width="7.42578125" style="1" customWidth="1"/>
    <col min="8499" max="8499" width="7.140625" style="1" customWidth="1"/>
    <col min="8500" max="8500" width="6.42578125" style="1" customWidth="1"/>
    <col min="8501" max="8731" width="8.7109375" style="1"/>
    <col min="8732" max="8732" width="3.7109375" style="1" customWidth="1"/>
    <col min="8733" max="8733" width="4.28515625" style="1" customWidth="1"/>
    <col min="8734" max="8734" width="11.28515625" style="1" customWidth="1"/>
    <col min="8735" max="8735" width="13.42578125" style="1" customWidth="1"/>
    <col min="8736" max="8738" width="5.42578125" style="1" customWidth="1"/>
    <col min="8739" max="8739" width="8.28515625" style="1" customWidth="1"/>
    <col min="8740" max="8742" width="4.7109375" style="1" customWidth="1"/>
    <col min="8743" max="8743" width="11.7109375" style="1" customWidth="1"/>
    <col min="8744" max="8745" width="7" style="1" customWidth="1"/>
    <col min="8746" max="8746" width="6.42578125" style="1" customWidth="1"/>
    <col min="8747" max="8747" width="15" style="1" customWidth="1"/>
    <col min="8748" max="8748" width="5.28515625" style="1" customWidth="1"/>
    <col min="8749" max="8751" width="4.7109375" style="1" customWidth="1"/>
    <col min="8752" max="8752" width="11.7109375" style="1" customWidth="1"/>
    <col min="8753" max="8753" width="10" style="1" customWidth="1"/>
    <col min="8754" max="8754" width="7.42578125" style="1" customWidth="1"/>
    <col min="8755" max="8755" width="7.140625" style="1" customWidth="1"/>
    <col min="8756" max="8756" width="6.42578125" style="1" customWidth="1"/>
    <col min="8757" max="8987" width="8.7109375" style="1"/>
    <col min="8988" max="8988" width="3.7109375" style="1" customWidth="1"/>
    <col min="8989" max="8989" width="4.28515625" style="1" customWidth="1"/>
    <col min="8990" max="8990" width="11.28515625" style="1" customWidth="1"/>
    <col min="8991" max="8991" width="13.42578125" style="1" customWidth="1"/>
    <col min="8992" max="8994" width="5.42578125" style="1" customWidth="1"/>
    <col min="8995" max="8995" width="8.28515625" style="1" customWidth="1"/>
    <col min="8996" max="8998" width="4.7109375" style="1" customWidth="1"/>
    <col min="8999" max="8999" width="11.7109375" style="1" customWidth="1"/>
    <col min="9000" max="9001" width="7" style="1" customWidth="1"/>
    <col min="9002" max="9002" width="6.42578125" style="1" customWidth="1"/>
    <col min="9003" max="9003" width="15" style="1" customWidth="1"/>
    <col min="9004" max="9004" width="5.28515625" style="1" customWidth="1"/>
    <col min="9005" max="9007" width="4.7109375" style="1" customWidth="1"/>
    <col min="9008" max="9008" width="11.7109375" style="1" customWidth="1"/>
    <col min="9009" max="9009" width="10" style="1" customWidth="1"/>
    <col min="9010" max="9010" width="7.42578125" style="1" customWidth="1"/>
    <col min="9011" max="9011" width="7.140625" style="1" customWidth="1"/>
    <col min="9012" max="9012" width="6.42578125" style="1" customWidth="1"/>
    <col min="9013" max="9243" width="8.7109375" style="1"/>
    <col min="9244" max="9244" width="3.7109375" style="1" customWidth="1"/>
    <col min="9245" max="9245" width="4.28515625" style="1" customWidth="1"/>
    <col min="9246" max="9246" width="11.28515625" style="1" customWidth="1"/>
    <col min="9247" max="9247" width="13.42578125" style="1" customWidth="1"/>
    <col min="9248" max="9250" width="5.42578125" style="1" customWidth="1"/>
    <col min="9251" max="9251" width="8.28515625" style="1" customWidth="1"/>
    <col min="9252" max="9254" width="4.7109375" style="1" customWidth="1"/>
    <col min="9255" max="9255" width="11.7109375" style="1" customWidth="1"/>
    <col min="9256" max="9257" width="7" style="1" customWidth="1"/>
    <col min="9258" max="9258" width="6.42578125" style="1" customWidth="1"/>
    <col min="9259" max="9259" width="15" style="1" customWidth="1"/>
    <col min="9260" max="9260" width="5.28515625" style="1" customWidth="1"/>
    <col min="9261" max="9263" width="4.7109375" style="1" customWidth="1"/>
    <col min="9264" max="9264" width="11.7109375" style="1" customWidth="1"/>
    <col min="9265" max="9265" width="10" style="1" customWidth="1"/>
    <col min="9266" max="9266" width="7.42578125" style="1" customWidth="1"/>
    <col min="9267" max="9267" width="7.140625" style="1" customWidth="1"/>
    <col min="9268" max="9268" width="6.42578125" style="1" customWidth="1"/>
    <col min="9269" max="9499" width="8.7109375" style="1"/>
    <col min="9500" max="9500" width="3.7109375" style="1" customWidth="1"/>
    <col min="9501" max="9501" width="4.28515625" style="1" customWidth="1"/>
    <col min="9502" max="9502" width="11.28515625" style="1" customWidth="1"/>
    <col min="9503" max="9503" width="13.42578125" style="1" customWidth="1"/>
    <col min="9504" max="9506" width="5.42578125" style="1" customWidth="1"/>
    <col min="9507" max="9507" width="8.28515625" style="1" customWidth="1"/>
    <col min="9508" max="9510" width="4.7109375" style="1" customWidth="1"/>
    <col min="9511" max="9511" width="11.7109375" style="1" customWidth="1"/>
    <col min="9512" max="9513" width="7" style="1" customWidth="1"/>
    <col min="9514" max="9514" width="6.42578125" style="1" customWidth="1"/>
    <col min="9515" max="9515" width="15" style="1" customWidth="1"/>
    <col min="9516" max="9516" width="5.28515625" style="1" customWidth="1"/>
    <col min="9517" max="9519" width="4.7109375" style="1" customWidth="1"/>
    <col min="9520" max="9520" width="11.7109375" style="1" customWidth="1"/>
    <col min="9521" max="9521" width="10" style="1" customWidth="1"/>
    <col min="9522" max="9522" width="7.42578125" style="1" customWidth="1"/>
    <col min="9523" max="9523" width="7.140625" style="1" customWidth="1"/>
    <col min="9524" max="9524" width="6.42578125" style="1" customWidth="1"/>
    <col min="9525" max="9755" width="8.7109375" style="1"/>
    <col min="9756" max="9756" width="3.7109375" style="1" customWidth="1"/>
    <col min="9757" max="9757" width="4.28515625" style="1" customWidth="1"/>
    <col min="9758" max="9758" width="11.28515625" style="1" customWidth="1"/>
    <col min="9759" max="9759" width="13.42578125" style="1" customWidth="1"/>
    <col min="9760" max="9762" width="5.42578125" style="1" customWidth="1"/>
    <col min="9763" max="9763" width="8.28515625" style="1" customWidth="1"/>
    <col min="9764" max="9766" width="4.7109375" style="1" customWidth="1"/>
    <col min="9767" max="9767" width="11.7109375" style="1" customWidth="1"/>
    <col min="9768" max="9769" width="7" style="1" customWidth="1"/>
    <col min="9770" max="9770" width="6.42578125" style="1" customWidth="1"/>
    <col min="9771" max="9771" width="15" style="1" customWidth="1"/>
    <col min="9772" max="9772" width="5.28515625" style="1" customWidth="1"/>
    <col min="9773" max="9775" width="4.7109375" style="1" customWidth="1"/>
    <col min="9776" max="9776" width="11.7109375" style="1" customWidth="1"/>
    <col min="9777" max="9777" width="10" style="1" customWidth="1"/>
    <col min="9778" max="9778" width="7.42578125" style="1" customWidth="1"/>
    <col min="9779" max="9779" width="7.140625" style="1" customWidth="1"/>
    <col min="9780" max="9780" width="6.42578125" style="1" customWidth="1"/>
    <col min="9781" max="10011" width="8.7109375" style="1"/>
    <col min="10012" max="10012" width="3.7109375" style="1" customWidth="1"/>
    <col min="10013" max="10013" width="4.28515625" style="1" customWidth="1"/>
    <col min="10014" max="10014" width="11.28515625" style="1" customWidth="1"/>
    <col min="10015" max="10015" width="13.42578125" style="1" customWidth="1"/>
    <col min="10016" max="10018" width="5.42578125" style="1" customWidth="1"/>
    <col min="10019" max="10019" width="8.28515625" style="1" customWidth="1"/>
    <col min="10020" max="10022" width="4.7109375" style="1" customWidth="1"/>
    <col min="10023" max="10023" width="11.7109375" style="1" customWidth="1"/>
    <col min="10024" max="10025" width="7" style="1" customWidth="1"/>
    <col min="10026" max="10026" width="6.42578125" style="1" customWidth="1"/>
    <col min="10027" max="10027" width="15" style="1" customWidth="1"/>
    <col min="10028" max="10028" width="5.28515625" style="1" customWidth="1"/>
    <col min="10029" max="10031" width="4.7109375" style="1" customWidth="1"/>
    <col min="10032" max="10032" width="11.7109375" style="1" customWidth="1"/>
    <col min="10033" max="10033" width="10" style="1" customWidth="1"/>
    <col min="10034" max="10034" width="7.42578125" style="1" customWidth="1"/>
    <col min="10035" max="10035" width="7.140625" style="1" customWidth="1"/>
    <col min="10036" max="10036" width="6.42578125" style="1" customWidth="1"/>
    <col min="10037" max="10267" width="8.7109375" style="1"/>
    <col min="10268" max="10268" width="3.7109375" style="1" customWidth="1"/>
    <col min="10269" max="10269" width="4.28515625" style="1" customWidth="1"/>
    <col min="10270" max="10270" width="11.28515625" style="1" customWidth="1"/>
    <col min="10271" max="10271" width="13.42578125" style="1" customWidth="1"/>
    <col min="10272" max="10274" width="5.42578125" style="1" customWidth="1"/>
    <col min="10275" max="10275" width="8.28515625" style="1" customWidth="1"/>
    <col min="10276" max="10278" width="4.7109375" style="1" customWidth="1"/>
    <col min="10279" max="10279" width="11.7109375" style="1" customWidth="1"/>
    <col min="10280" max="10281" width="7" style="1" customWidth="1"/>
    <col min="10282" max="10282" width="6.42578125" style="1" customWidth="1"/>
    <col min="10283" max="10283" width="15" style="1" customWidth="1"/>
    <col min="10284" max="10284" width="5.28515625" style="1" customWidth="1"/>
    <col min="10285" max="10287" width="4.7109375" style="1" customWidth="1"/>
    <col min="10288" max="10288" width="11.7109375" style="1" customWidth="1"/>
    <col min="10289" max="10289" width="10" style="1" customWidth="1"/>
    <col min="10290" max="10290" width="7.42578125" style="1" customWidth="1"/>
    <col min="10291" max="10291" width="7.140625" style="1" customWidth="1"/>
    <col min="10292" max="10292" width="6.42578125" style="1" customWidth="1"/>
    <col min="10293" max="10523" width="8.7109375" style="1"/>
    <col min="10524" max="10524" width="3.7109375" style="1" customWidth="1"/>
    <col min="10525" max="10525" width="4.28515625" style="1" customWidth="1"/>
    <col min="10526" max="10526" width="11.28515625" style="1" customWidth="1"/>
    <col min="10527" max="10527" width="13.42578125" style="1" customWidth="1"/>
    <col min="10528" max="10530" width="5.42578125" style="1" customWidth="1"/>
    <col min="10531" max="10531" width="8.28515625" style="1" customWidth="1"/>
    <col min="10532" max="10534" width="4.7109375" style="1" customWidth="1"/>
    <col min="10535" max="10535" width="11.7109375" style="1" customWidth="1"/>
    <col min="10536" max="10537" width="7" style="1" customWidth="1"/>
    <col min="10538" max="10538" width="6.42578125" style="1" customWidth="1"/>
    <col min="10539" max="10539" width="15" style="1" customWidth="1"/>
    <col min="10540" max="10540" width="5.28515625" style="1" customWidth="1"/>
    <col min="10541" max="10543" width="4.7109375" style="1" customWidth="1"/>
    <col min="10544" max="10544" width="11.7109375" style="1" customWidth="1"/>
    <col min="10545" max="10545" width="10" style="1" customWidth="1"/>
    <col min="10546" max="10546" width="7.42578125" style="1" customWidth="1"/>
    <col min="10547" max="10547" width="7.140625" style="1" customWidth="1"/>
    <col min="10548" max="10548" width="6.42578125" style="1" customWidth="1"/>
    <col min="10549" max="10779" width="8.7109375" style="1"/>
    <col min="10780" max="10780" width="3.7109375" style="1" customWidth="1"/>
    <col min="10781" max="10781" width="4.28515625" style="1" customWidth="1"/>
    <col min="10782" max="10782" width="11.28515625" style="1" customWidth="1"/>
    <col min="10783" max="10783" width="13.42578125" style="1" customWidth="1"/>
    <col min="10784" max="10786" width="5.42578125" style="1" customWidth="1"/>
    <col min="10787" max="10787" width="8.28515625" style="1" customWidth="1"/>
    <col min="10788" max="10790" width="4.7109375" style="1" customWidth="1"/>
    <col min="10791" max="10791" width="11.7109375" style="1" customWidth="1"/>
    <col min="10792" max="10793" width="7" style="1" customWidth="1"/>
    <col min="10794" max="10794" width="6.42578125" style="1" customWidth="1"/>
    <col min="10795" max="10795" width="15" style="1" customWidth="1"/>
    <col min="10796" max="10796" width="5.28515625" style="1" customWidth="1"/>
    <col min="10797" max="10799" width="4.7109375" style="1" customWidth="1"/>
    <col min="10800" max="10800" width="11.7109375" style="1" customWidth="1"/>
    <col min="10801" max="10801" width="10" style="1" customWidth="1"/>
    <col min="10802" max="10802" width="7.42578125" style="1" customWidth="1"/>
    <col min="10803" max="10803" width="7.140625" style="1" customWidth="1"/>
    <col min="10804" max="10804" width="6.42578125" style="1" customWidth="1"/>
    <col min="10805" max="11035" width="8.7109375" style="1"/>
    <col min="11036" max="11036" width="3.7109375" style="1" customWidth="1"/>
    <col min="11037" max="11037" width="4.28515625" style="1" customWidth="1"/>
    <col min="11038" max="11038" width="11.28515625" style="1" customWidth="1"/>
    <col min="11039" max="11039" width="13.42578125" style="1" customWidth="1"/>
    <col min="11040" max="11042" width="5.42578125" style="1" customWidth="1"/>
    <col min="11043" max="11043" width="8.28515625" style="1" customWidth="1"/>
    <col min="11044" max="11046" width="4.7109375" style="1" customWidth="1"/>
    <col min="11047" max="11047" width="11.7109375" style="1" customWidth="1"/>
    <col min="11048" max="11049" width="7" style="1" customWidth="1"/>
    <col min="11050" max="11050" width="6.42578125" style="1" customWidth="1"/>
    <col min="11051" max="11051" width="15" style="1" customWidth="1"/>
    <col min="11052" max="11052" width="5.28515625" style="1" customWidth="1"/>
    <col min="11053" max="11055" width="4.7109375" style="1" customWidth="1"/>
    <col min="11056" max="11056" width="11.7109375" style="1" customWidth="1"/>
    <col min="11057" max="11057" width="10" style="1" customWidth="1"/>
    <col min="11058" max="11058" width="7.42578125" style="1" customWidth="1"/>
    <col min="11059" max="11059" width="7.140625" style="1" customWidth="1"/>
    <col min="11060" max="11060" width="6.42578125" style="1" customWidth="1"/>
    <col min="11061" max="11291" width="8.7109375" style="1"/>
    <col min="11292" max="11292" width="3.7109375" style="1" customWidth="1"/>
    <col min="11293" max="11293" width="4.28515625" style="1" customWidth="1"/>
    <col min="11294" max="11294" width="11.28515625" style="1" customWidth="1"/>
    <col min="11295" max="11295" width="13.42578125" style="1" customWidth="1"/>
    <col min="11296" max="11298" width="5.42578125" style="1" customWidth="1"/>
    <col min="11299" max="11299" width="8.28515625" style="1" customWidth="1"/>
    <col min="11300" max="11302" width="4.7109375" style="1" customWidth="1"/>
    <col min="11303" max="11303" width="11.7109375" style="1" customWidth="1"/>
    <col min="11304" max="11305" width="7" style="1" customWidth="1"/>
    <col min="11306" max="11306" width="6.42578125" style="1" customWidth="1"/>
    <col min="11307" max="11307" width="15" style="1" customWidth="1"/>
    <col min="11308" max="11308" width="5.28515625" style="1" customWidth="1"/>
    <col min="11309" max="11311" width="4.7109375" style="1" customWidth="1"/>
    <col min="11312" max="11312" width="11.7109375" style="1" customWidth="1"/>
    <col min="11313" max="11313" width="10" style="1" customWidth="1"/>
    <col min="11314" max="11314" width="7.42578125" style="1" customWidth="1"/>
    <col min="11315" max="11315" width="7.140625" style="1" customWidth="1"/>
    <col min="11316" max="11316" width="6.42578125" style="1" customWidth="1"/>
    <col min="11317" max="11547" width="8.7109375" style="1"/>
    <col min="11548" max="11548" width="3.7109375" style="1" customWidth="1"/>
    <col min="11549" max="11549" width="4.28515625" style="1" customWidth="1"/>
    <col min="11550" max="11550" width="11.28515625" style="1" customWidth="1"/>
    <col min="11551" max="11551" width="13.42578125" style="1" customWidth="1"/>
    <col min="11552" max="11554" width="5.42578125" style="1" customWidth="1"/>
    <col min="11555" max="11555" width="8.28515625" style="1" customWidth="1"/>
    <col min="11556" max="11558" width="4.7109375" style="1" customWidth="1"/>
    <col min="11559" max="11559" width="11.7109375" style="1" customWidth="1"/>
    <col min="11560" max="11561" width="7" style="1" customWidth="1"/>
    <col min="11562" max="11562" width="6.42578125" style="1" customWidth="1"/>
    <col min="11563" max="11563" width="15" style="1" customWidth="1"/>
    <col min="11564" max="11564" width="5.28515625" style="1" customWidth="1"/>
    <col min="11565" max="11567" width="4.7109375" style="1" customWidth="1"/>
    <col min="11568" max="11568" width="11.7109375" style="1" customWidth="1"/>
    <col min="11569" max="11569" width="10" style="1" customWidth="1"/>
    <col min="11570" max="11570" width="7.42578125" style="1" customWidth="1"/>
    <col min="11571" max="11571" width="7.140625" style="1" customWidth="1"/>
    <col min="11572" max="11572" width="6.42578125" style="1" customWidth="1"/>
    <col min="11573" max="11803" width="8.7109375" style="1"/>
    <col min="11804" max="11804" width="3.7109375" style="1" customWidth="1"/>
    <col min="11805" max="11805" width="4.28515625" style="1" customWidth="1"/>
    <col min="11806" max="11806" width="11.28515625" style="1" customWidth="1"/>
    <col min="11807" max="11807" width="13.42578125" style="1" customWidth="1"/>
    <col min="11808" max="11810" width="5.42578125" style="1" customWidth="1"/>
    <col min="11811" max="11811" width="8.28515625" style="1" customWidth="1"/>
    <col min="11812" max="11814" width="4.7109375" style="1" customWidth="1"/>
    <col min="11815" max="11815" width="11.7109375" style="1" customWidth="1"/>
    <col min="11816" max="11817" width="7" style="1" customWidth="1"/>
    <col min="11818" max="11818" width="6.42578125" style="1" customWidth="1"/>
    <col min="11819" max="11819" width="15" style="1" customWidth="1"/>
    <col min="11820" max="11820" width="5.28515625" style="1" customWidth="1"/>
    <col min="11821" max="11823" width="4.7109375" style="1" customWidth="1"/>
    <col min="11824" max="11824" width="11.7109375" style="1" customWidth="1"/>
    <col min="11825" max="11825" width="10" style="1" customWidth="1"/>
    <col min="11826" max="11826" width="7.42578125" style="1" customWidth="1"/>
    <col min="11827" max="11827" width="7.140625" style="1" customWidth="1"/>
    <col min="11828" max="11828" width="6.42578125" style="1" customWidth="1"/>
    <col min="11829" max="12059" width="8.7109375" style="1"/>
    <col min="12060" max="12060" width="3.7109375" style="1" customWidth="1"/>
    <col min="12061" max="12061" width="4.28515625" style="1" customWidth="1"/>
    <col min="12062" max="12062" width="11.28515625" style="1" customWidth="1"/>
    <col min="12063" max="12063" width="13.42578125" style="1" customWidth="1"/>
    <col min="12064" max="12066" width="5.42578125" style="1" customWidth="1"/>
    <col min="12067" max="12067" width="8.28515625" style="1" customWidth="1"/>
    <col min="12068" max="12070" width="4.7109375" style="1" customWidth="1"/>
    <col min="12071" max="12071" width="11.7109375" style="1" customWidth="1"/>
    <col min="12072" max="12073" width="7" style="1" customWidth="1"/>
    <col min="12074" max="12074" width="6.42578125" style="1" customWidth="1"/>
    <col min="12075" max="12075" width="15" style="1" customWidth="1"/>
    <col min="12076" max="12076" width="5.28515625" style="1" customWidth="1"/>
    <col min="12077" max="12079" width="4.7109375" style="1" customWidth="1"/>
    <col min="12080" max="12080" width="11.7109375" style="1" customWidth="1"/>
    <col min="12081" max="12081" width="10" style="1" customWidth="1"/>
    <col min="12082" max="12082" width="7.42578125" style="1" customWidth="1"/>
    <col min="12083" max="12083" width="7.140625" style="1" customWidth="1"/>
    <col min="12084" max="12084" width="6.42578125" style="1" customWidth="1"/>
    <col min="12085" max="12315" width="8.7109375" style="1"/>
    <col min="12316" max="12316" width="3.7109375" style="1" customWidth="1"/>
    <col min="12317" max="12317" width="4.28515625" style="1" customWidth="1"/>
    <col min="12318" max="12318" width="11.28515625" style="1" customWidth="1"/>
    <col min="12319" max="12319" width="13.42578125" style="1" customWidth="1"/>
    <col min="12320" max="12322" width="5.42578125" style="1" customWidth="1"/>
    <col min="12323" max="12323" width="8.28515625" style="1" customWidth="1"/>
    <col min="12324" max="12326" width="4.7109375" style="1" customWidth="1"/>
    <col min="12327" max="12327" width="11.7109375" style="1" customWidth="1"/>
    <col min="12328" max="12329" width="7" style="1" customWidth="1"/>
    <col min="12330" max="12330" width="6.42578125" style="1" customWidth="1"/>
    <col min="12331" max="12331" width="15" style="1" customWidth="1"/>
    <col min="12332" max="12332" width="5.28515625" style="1" customWidth="1"/>
    <col min="12333" max="12335" width="4.7109375" style="1" customWidth="1"/>
    <col min="12336" max="12336" width="11.7109375" style="1" customWidth="1"/>
    <col min="12337" max="12337" width="10" style="1" customWidth="1"/>
    <col min="12338" max="12338" width="7.42578125" style="1" customWidth="1"/>
    <col min="12339" max="12339" width="7.140625" style="1" customWidth="1"/>
    <col min="12340" max="12340" width="6.42578125" style="1" customWidth="1"/>
    <col min="12341" max="12571" width="8.7109375" style="1"/>
    <col min="12572" max="12572" width="3.7109375" style="1" customWidth="1"/>
    <col min="12573" max="12573" width="4.28515625" style="1" customWidth="1"/>
    <col min="12574" max="12574" width="11.28515625" style="1" customWidth="1"/>
    <col min="12575" max="12575" width="13.42578125" style="1" customWidth="1"/>
    <col min="12576" max="12578" width="5.42578125" style="1" customWidth="1"/>
    <col min="12579" max="12579" width="8.28515625" style="1" customWidth="1"/>
    <col min="12580" max="12582" width="4.7109375" style="1" customWidth="1"/>
    <col min="12583" max="12583" width="11.7109375" style="1" customWidth="1"/>
    <col min="12584" max="12585" width="7" style="1" customWidth="1"/>
    <col min="12586" max="12586" width="6.42578125" style="1" customWidth="1"/>
    <col min="12587" max="12587" width="15" style="1" customWidth="1"/>
    <col min="12588" max="12588" width="5.28515625" style="1" customWidth="1"/>
    <col min="12589" max="12591" width="4.7109375" style="1" customWidth="1"/>
    <col min="12592" max="12592" width="11.7109375" style="1" customWidth="1"/>
    <col min="12593" max="12593" width="10" style="1" customWidth="1"/>
    <col min="12594" max="12594" width="7.42578125" style="1" customWidth="1"/>
    <col min="12595" max="12595" width="7.140625" style="1" customWidth="1"/>
    <col min="12596" max="12596" width="6.42578125" style="1" customWidth="1"/>
    <col min="12597" max="12827" width="8.7109375" style="1"/>
    <col min="12828" max="12828" width="3.7109375" style="1" customWidth="1"/>
    <col min="12829" max="12829" width="4.28515625" style="1" customWidth="1"/>
    <col min="12830" max="12830" width="11.28515625" style="1" customWidth="1"/>
    <col min="12831" max="12831" width="13.42578125" style="1" customWidth="1"/>
    <col min="12832" max="12834" width="5.42578125" style="1" customWidth="1"/>
    <col min="12835" max="12835" width="8.28515625" style="1" customWidth="1"/>
    <col min="12836" max="12838" width="4.7109375" style="1" customWidth="1"/>
    <col min="12839" max="12839" width="11.7109375" style="1" customWidth="1"/>
    <col min="12840" max="12841" width="7" style="1" customWidth="1"/>
    <col min="12842" max="12842" width="6.42578125" style="1" customWidth="1"/>
    <col min="12843" max="12843" width="15" style="1" customWidth="1"/>
    <col min="12844" max="12844" width="5.28515625" style="1" customWidth="1"/>
    <col min="12845" max="12847" width="4.7109375" style="1" customWidth="1"/>
    <col min="12848" max="12848" width="11.7109375" style="1" customWidth="1"/>
    <col min="12849" max="12849" width="10" style="1" customWidth="1"/>
    <col min="12850" max="12850" width="7.42578125" style="1" customWidth="1"/>
    <col min="12851" max="12851" width="7.140625" style="1" customWidth="1"/>
    <col min="12852" max="12852" width="6.42578125" style="1" customWidth="1"/>
    <col min="12853" max="13083" width="8.7109375" style="1"/>
    <col min="13084" max="13084" width="3.7109375" style="1" customWidth="1"/>
    <col min="13085" max="13085" width="4.28515625" style="1" customWidth="1"/>
    <col min="13086" max="13086" width="11.28515625" style="1" customWidth="1"/>
    <col min="13087" max="13087" width="13.42578125" style="1" customWidth="1"/>
    <col min="13088" max="13090" width="5.42578125" style="1" customWidth="1"/>
    <col min="13091" max="13091" width="8.28515625" style="1" customWidth="1"/>
    <col min="13092" max="13094" width="4.7109375" style="1" customWidth="1"/>
    <col min="13095" max="13095" width="11.7109375" style="1" customWidth="1"/>
    <col min="13096" max="13097" width="7" style="1" customWidth="1"/>
    <col min="13098" max="13098" width="6.42578125" style="1" customWidth="1"/>
    <col min="13099" max="13099" width="15" style="1" customWidth="1"/>
    <col min="13100" max="13100" width="5.28515625" style="1" customWidth="1"/>
    <col min="13101" max="13103" width="4.7109375" style="1" customWidth="1"/>
    <col min="13104" max="13104" width="11.7109375" style="1" customWidth="1"/>
    <col min="13105" max="13105" width="10" style="1" customWidth="1"/>
    <col min="13106" max="13106" width="7.42578125" style="1" customWidth="1"/>
    <col min="13107" max="13107" width="7.140625" style="1" customWidth="1"/>
    <col min="13108" max="13108" width="6.42578125" style="1" customWidth="1"/>
    <col min="13109" max="13339" width="8.7109375" style="1"/>
    <col min="13340" max="13340" width="3.7109375" style="1" customWidth="1"/>
    <col min="13341" max="13341" width="4.28515625" style="1" customWidth="1"/>
    <col min="13342" max="13342" width="11.28515625" style="1" customWidth="1"/>
    <col min="13343" max="13343" width="13.42578125" style="1" customWidth="1"/>
    <col min="13344" max="13346" width="5.42578125" style="1" customWidth="1"/>
    <col min="13347" max="13347" width="8.28515625" style="1" customWidth="1"/>
    <col min="13348" max="13350" width="4.7109375" style="1" customWidth="1"/>
    <col min="13351" max="13351" width="11.7109375" style="1" customWidth="1"/>
    <col min="13352" max="13353" width="7" style="1" customWidth="1"/>
    <col min="13354" max="13354" width="6.42578125" style="1" customWidth="1"/>
    <col min="13355" max="13355" width="15" style="1" customWidth="1"/>
    <col min="13356" max="13356" width="5.28515625" style="1" customWidth="1"/>
    <col min="13357" max="13359" width="4.7109375" style="1" customWidth="1"/>
    <col min="13360" max="13360" width="11.7109375" style="1" customWidth="1"/>
    <col min="13361" max="13361" width="10" style="1" customWidth="1"/>
    <col min="13362" max="13362" width="7.42578125" style="1" customWidth="1"/>
    <col min="13363" max="13363" width="7.140625" style="1" customWidth="1"/>
    <col min="13364" max="13364" width="6.42578125" style="1" customWidth="1"/>
    <col min="13365" max="13595" width="8.7109375" style="1"/>
    <col min="13596" max="13596" width="3.7109375" style="1" customWidth="1"/>
    <col min="13597" max="13597" width="4.28515625" style="1" customWidth="1"/>
    <col min="13598" max="13598" width="11.28515625" style="1" customWidth="1"/>
    <col min="13599" max="13599" width="13.42578125" style="1" customWidth="1"/>
    <col min="13600" max="13602" width="5.42578125" style="1" customWidth="1"/>
    <col min="13603" max="13603" width="8.28515625" style="1" customWidth="1"/>
    <col min="13604" max="13606" width="4.7109375" style="1" customWidth="1"/>
    <col min="13607" max="13607" width="11.7109375" style="1" customWidth="1"/>
    <col min="13608" max="13609" width="7" style="1" customWidth="1"/>
    <col min="13610" max="13610" width="6.42578125" style="1" customWidth="1"/>
    <col min="13611" max="13611" width="15" style="1" customWidth="1"/>
    <col min="13612" max="13612" width="5.28515625" style="1" customWidth="1"/>
    <col min="13613" max="13615" width="4.7109375" style="1" customWidth="1"/>
    <col min="13616" max="13616" width="11.7109375" style="1" customWidth="1"/>
    <col min="13617" max="13617" width="10" style="1" customWidth="1"/>
    <col min="13618" max="13618" width="7.42578125" style="1" customWidth="1"/>
    <col min="13619" max="13619" width="7.140625" style="1" customWidth="1"/>
    <col min="13620" max="13620" width="6.42578125" style="1" customWidth="1"/>
    <col min="13621" max="13851" width="8.7109375" style="1"/>
    <col min="13852" max="13852" width="3.7109375" style="1" customWidth="1"/>
    <col min="13853" max="13853" width="4.28515625" style="1" customWidth="1"/>
    <col min="13854" max="13854" width="11.28515625" style="1" customWidth="1"/>
    <col min="13855" max="13855" width="13.42578125" style="1" customWidth="1"/>
    <col min="13856" max="13858" width="5.42578125" style="1" customWidth="1"/>
    <col min="13859" max="13859" width="8.28515625" style="1" customWidth="1"/>
    <col min="13860" max="13862" width="4.7109375" style="1" customWidth="1"/>
    <col min="13863" max="13863" width="11.7109375" style="1" customWidth="1"/>
    <col min="13864" max="13865" width="7" style="1" customWidth="1"/>
    <col min="13866" max="13866" width="6.42578125" style="1" customWidth="1"/>
    <col min="13867" max="13867" width="15" style="1" customWidth="1"/>
    <col min="13868" max="13868" width="5.28515625" style="1" customWidth="1"/>
    <col min="13869" max="13871" width="4.7109375" style="1" customWidth="1"/>
    <col min="13872" max="13872" width="11.7109375" style="1" customWidth="1"/>
    <col min="13873" max="13873" width="10" style="1" customWidth="1"/>
    <col min="13874" max="13874" width="7.42578125" style="1" customWidth="1"/>
    <col min="13875" max="13875" width="7.140625" style="1" customWidth="1"/>
    <col min="13876" max="13876" width="6.42578125" style="1" customWidth="1"/>
    <col min="13877" max="14107" width="8.7109375" style="1"/>
    <col min="14108" max="14108" width="3.7109375" style="1" customWidth="1"/>
    <col min="14109" max="14109" width="4.28515625" style="1" customWidth="1"/>
    <col min="14110" max="14110" width="11.28515625" style="1" customWidth="1"/>
    <col min="14111" max="14111" width="13.42578125" style="1" customWidth="1"/>
    <col min="14112" max="14114" width="5.42578125" style="1" customWidth="1"/>
    <col min="14115" max="14115" width="8.28515625" style="1" customWidth="1"/>
    <col min="14116" max="14118" width="4.7109375" style="1" customWidth="1"/>
    <col min="14119" max="14119" width="11.7109375" style="1" customWidth="1"/>
    <col min="14120" max="14121" width="7" style="1" customWidth="1"/>
    <col min="14122" max="14122" width="6.42578125" style="1" customWidth="1"/>
    <col min="14123" max="14123" width="15" style="1" customWidth="1"/>
    <col min="14124" max="14124" width="5.28515625" style="1" customWidth="1"/>
    <col min="14125" max="14127" width="4.7109375" style="1" customWidth="1"/>
    <col min="14128" max="14128" width="11.7109375" style="1" customWidth="1"/>
    <col min="14129" max="14129" width="10" style="1" customWidth="1"/>
    <col min="14130" max="14130" width="7.42578125" style="1" customWidth="1"/>
    <col min="14131" max="14131" width="7.140625" style="1" customWidth="1"/>
    <col min="14132" max="14132" width="6.42578125" style="1" customWidth="1"/>
    <col min="14133" max="14363" width="8.7109375" style="1"/>
    <col min="14364" max="14364" width="3.7109375" style="1" customWidth="1"/>
    <col min="14365" max="14365" width="4.28515625" style="1" customWidth="1"/>
    <col min="14366" max="14366" width="11.28515625" style="1" customWidth="1"/>
    <col min="14367" max="14367" width="13.42578125" style="1" customWidth="1"/>
    <col min="14368" max="14370" width="5.42578125" style="1" customWidth="1"/>
    <col min="14371" max="14371" width="8.28515625" style="1" customWidth="1"/>
    <col min="14372" max="14374" width="4.7109375" style="1" customWidth="1"/>
    <col min="14375" max="14375" width="11.7109375" style="1" customWidth="1"/>
    <col min="14376" max="14377" width="7" style="1" customWidth="1"/>
    <col min="14378" max="14378" width="6.42578125" style="1" customWidth="1"/>
    <col min="14379" max="14379" width="15" style="1" customWidth="1"/>
    <col min="14380" max="14380" width="5.28515625" style="1" customWidth="1"/>
    <col min="14381" max="14383" width="4.7109375" style="1" customWidth="1"/>
    <col min="14384" max="14384" width="11.7109375" style="1" customWidth="1"/>
    <col min="14385" max="14385" width="10" style="1" customWidth="1"/>
    <col min="14386" max="14386" width="7.42578125" style="1" customWidth="1"/>
    <col min="14387" max="14387" width="7.140625" style="1" customWidth="1"/>
    <col min="14388" max="14388" width="6.42578125" style="1" customWidth="1"/>
    <col min="14389" max="14619" width="8.7109375" style="1"/>
    <col min="14620" max="14620" width="3.7109375" style="1" customWidth="1"/>
    <col min="14621" max="14621" width="4.28515625" style="1" customWidth="1"/>
    <col min="14622" max="14622" width="11.28515625" style="1" customWidth="1"/>
    <col min="14623" max="14623" width="13.42578125" style="1" customWidth="1"/>
    <col min="14624" max="14626" width="5.42578125" style="1" customWidth="1"/>
    <col min="14627" max="14627" width="8.28515625" style="1" customWidth="1"/>
    <col min="14628" max="14630" width="4.7109375" style="1" customWidth="1"/>
    <col min="14631" max="14631" width="11.7109375" style="1" customWidth="1"/>
    <col min="14632" max="14633" width="7" style="1" customWidth="1"/>
    <col min="14634" max="14634" width="6.42578125" style="1" customWidth="1"/>
    <col min="14635" max="14635" width="15" style="1" customWidth="1"/>
    <col min="14636" max="14636" width="5.28515625" style="1" customWidth="1"/>
    <col min="14637" max="14639" width="4.7109375" style="1" customWidth="1"/>
    <col min="14640" max="14640" width="11.7109375" style="1" customWidth="1"/>
    <col min="14641" max="14641" width="10" style="1" customWidth="1"/>
    <col min="14642" max="14642" width="7.42578125" style="1" customWidth="1"/>
    <col min="14643" max="14643" width="7.140625" style="1" customWidth="1"/>
    <col min="14644" max="14644" width="6.42578125" style="1" customWidth="1"/>
    <col min="14645" max="14875" width="8.7109375" style="1"/>
    <col min="14876" max="14876" width="3.7109375" style="1" customWidth="1"/>
    <col min="14877" max="14877" width="4.28515625" style="1" customWidth="1"/>
    <col min="14878" max="14878" width="11.28515625" style="1" customWidth="1"/>
    <col min="14879" max="14879" width="13.42578125" style="1" customWidth="1"/>
    <col min="14880" max="14882" width="5.42578125" style="1" customWidth="1"/>
    <col min="14883" max="14883" width="8.28515625" style="1" customWidth="1"/>
    <col min="14884" max="14886" width="4.7109375" style="1" customWidth="1"/>
    <col min="14887" max="14887" width="11.7109375" style="1" customWidth="1"/>
    <col min="14888" max="14889" width="7" style="1" customWidth="1"/>
    <col min="14890" max="14890" width="6.42578125" style="1" customWidth="1"/>
    <col min="14891" max="14891" width="15" style="1" customWidth="1"/>
    <col min="14892" max="14892" width="5.28515625" style="1" customWidth="1"/>
    <col min="14893" max="14895" width="4.7109375" style="1" customWidth="1"/>
    <col min="14896" max="14896" width="11.7109375" style="1" customWidth="1"/>
    <col min="14897" max="14897" width="10" style="1" customWidth="1"/>
    <col min="14898" max="14898" width="7.42578125" style="1" customWidth="1"/>
    <col min="14899" max="14899" width="7.140625" style="1" customWidth="1"/>
    <col min="14900" max="14900" width="6.42578125" style="1" customWidth="1"/>
    <col min="14901" max="15131" width="8.7109375" style="1"/>
    <col min="15132" max="15132" width="3.7109375" style="1" customWidth="1"/>
    <col min="15133" max="15133" width="4.28515625" style="1" customWidth="1"/>
    <col min="15134" max="15134" width="11.28515625" style="1" customWidth="1"/>
    <col min="15135" max="15135" width="13.42578125" style="1" customWidth="1"/>
    <col min="15136" max="15138" width="5.42578125" style="1" customWidth="1"/>
    <col min="15139" max="15139" width="8.28515625" style="1" customWidth="1"/>
    <col min="15140" max="15142" width="4.7109375" style="1" customWidth="1"/>
    <col min="15143" max="15143" width="11.7109375" style="1" customWidth="1"/>
    <col min="15144" max="15145" width="7" style="1" customWidth="1"/>
    <col min="15146" max="15146" width="6.42578125" style="1" customWidth="1"/>
    <col min="15147" max="15147" width="15" style="1" customWidth="1"/>
    <col min="15148" max="15148" width="5.28515625" style="1" customWidth="1"/>
    <col min="15149" max="15151" width="4.7109375" style="1" customWidth="1"/>
    <col min="15152" max="15152" width="11.7109375" style="1" customWidth="1"/>
    <col min="15153" max="15153" width="10" style="1" customWidth="1"/>
    <col min="15154" max="15154" width="7.42578125" style="1" customWidth="1"/>
    <col min="15155" max="15155" width="7.140625" style="1" customWidth="1"/>
    <col min="15156" max="15156" width="6.42578125" style="1" customWidth="1"/>
    <col min="15157" max="15387" width="8.7109375" style="1"/>
    <col min="15388" max="15388" width="3.7109375" style="1" customWidth="1"/>
    <col min="15389" max="15389" width="4.28515625" style="1" customWidth="1"/>
    <col min="15390" max="15390" width="11.28515625" style="1" customWidth="1"/>
    <col min="15391" max="15391" width="13.42578125" style="1" customWidth="1"/>
    <col min="15392" max="15394" width="5.42578125" style="1" customWidth="1"/>
    <col min="15395" max="15395" width="8.28515625" style="1" customWidth="1"/>
    <col min="15396" max="15398" width="4.7109375" style="1" customWidth="1"/>
    <col min="15399" max="15399" width="11.7109375" style="1" customWidth="1"/>
    <col min="15400" max="15401" width="7" style="1" customWidth="1"/>
    <col min="15402" max="15402" width="6.42578125" style="1" customWidth="1"/>
    <col min="15403" max="15403" width="15" style="1" customWidth="1"/>
    <col min="15404" max="15404" width="5.28515625" style="1" customWidth="1"/>
    <col min="15405" max="15407" width="4.7109375" style="1" customWidth="1"/>
    <col min="15408" max="15408" width="11.7109375" style="1" customWidth="1"/>
    <col min="15409" max="15409" width="10" style="1" customWidth="1"/>
    <col min="15410" max="15410" width="7.42578125" style="1" customWidth="1"/>
    <col min="15411" max="15411" width="7.140625" style="1" customWidth="1"/>
    <col min="15412" max="15412" width="6.42578125" style="1" customWidth="1"/>
    <col min="15413" max="15643" width="8.7109375" style="1"/>
    <col min="15644" max="15644" width="3.7109375" style="1" customWidth="1"/>
    <col min="15645" max="15645" width="4.28515625" style="1" customWidth="1"/>
    <col min="15646" max="15646" width="11.28515625" style="1" customWidth="1"/>
    <col min="15647" max="15647" width="13.42578125" style="1" customWidth="1"/>
    <col min="15648" max="15650" width="5.42578125" style="1" customWidth="1"/>
    <col min="15651" max="15651" width="8.28515625" style="1" customWidth="1"/>
    <col min="15652" max="15654" width="4.7109375" style="1" customWidth="1"/>
    <col min="15655" max="15655" width="11.7109375" style="1" customWidth="1"/>
    <col min="15656" max="15657" width="7" style="1" customWidth="1"/>
    <col min="15658" max="15658" width="6.42578125" style="1" customWidth="1"/>
    <col min="15659" max="15659" width="15" style="1" customWidth="1"/>
    <col min="15660" max="15660" width="5.28515625" style="1" customWidth="1"/>
    <col min="15661" max="15663" width="4.7109375" style="1" customWidth="1"/>
    <col min="15664" max="15664" width="11.7109375" style="1" customWidth="1"/>
    <col min="15665" max="15665" width="10" style="1" customWidth="1"/>
    <col min="15666" max="15666" width="7.42578125" style="1" customWidth="1"/>
    <col min="15667" max="15667" width="7.140625" style="1" customWidth="1"/>
    <col min="15668" max="15668" width="6.42578125" style="1" customWidth="1"/>
    <col min="15669" max="15899" width="8.7109375" style="1"/>
    <col min="15900" max="15900" width="3.7109375" style="1" customWidth="1"/>
    <col min="15901" max="15901" width="4.28515625" style="1" customWidth="1"/>
    <col min="15902" max="15902" width="11.28515625" style="1" customWidth="1"/>
    <col min="15903" max="15903" width="13.42578125" style="1" customWidth="1"/>
    <col min="15904" max="15906" width="5.42578125" style="1" customWidth="1"/>
    <col min="15907" max="15907" width="8.28515625" style="1" customWidth="1"/>
    <col min="15908" max="15910" width="4.7109375" style="1" customWidth="1"/>
    <col min="15911" max="15911" width="11.7109375" style="1" customWidth="1"/>
    <col min="15912" max="15913" width="7" style="1" customWidth="1"/>
    <col min="15914" max="15914" width="6.42578125" style="1" customWidth="1"/>
    <col min="15915" max="15915" width="15" style="1" customWidth="1"/>
    <col min="15916" max="15916" width="5.28515625" style="1" customWidth="1"/>
    <col min="15917" max="15919" width="4.7109375" style="1" customWidth="1"/>
    <col min="15920" max="15920" width="11.7109375" style="1" customWidth="1"/>
    <col min="15921" max="15921" width="10" style="1" customWidth="1"/>
    <col min="15922" max="15922" width="7.42578125" style="1" customWidth="1"/>
    <col min="15923" max="15923" width="7.140625" style="1" customWidth="1"/>
    <col min="15924" max="15924" width="6.42578125" style="1" customWidth="1"/>
    <col min="15925" max="16155" width="8.7109375" style="1"/>
    <col min="16156" max="16156" width="3.7109375" style="1" customWidth="1"/>
    <col min="16157" max="16157" width="4.28515625" style="1" customWidth="1"/>
    <col min="16158" max="16158" width="11.28515625" style="1" customWidth="1"/>
    <col min="16159" max="16159" width="13.42578125" style="1" customWidth="1"/>
    <col min="16160" max="16162" width="5.42578125" style="1" customWidth="1"/>
    <col min="16163" max="16163" width="8.28515625" style="1" customWidth="1"/>
    <col min="16164" max="16166" width="4.7109375" style="1" customWidth="1"/>
    <col min="16167" max="16167" width="11.7109375" style="1" customWidth="1"/>
    <col min="16168" max="16169" width="7" style="1" customWidth="1"/>
    <col min="16170" max="16170" width="6.42578125" style="1" customWidth="1"/>
    <col min="16171" max="16171" width="15" style="1" customWidth="1"/>
    <col min="16172" max="16172" width="5.28515625" style="1" customWidth="1"/>
    <col min="16173" max="16175" width="4.7109375" style="1" customWidth="1"/>
    <col min="16176" max="16176" width="11.7109375" style="1" customWidth="1"/>
    <col min="16177" max="16177" width="10" style="1" customWidth="1"/>
    <col min="16178" max="16178" width="7.42578125" style="1" customWidth="1"/>
    <col min="16179" max="16179" width="7.140625" style="1" customWidth="1"/>
    <col min="16180" max="16180" width="6.42578125" style="1" customWidth="1"/>
    <col min="16181" max="16384" width="8.7109375" style="1"/>
  </cols>
  <sheetData>
    <row r="1" spans="1:54" x14ac:dyDescent="0.25">
      <c r="B1" s="1" t="s">
        <v>0</v>
      </c>
      <c r="F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Z1" s="2" t="s">
        <v>1</v>
      </c>
    </row>
    <row r="2" spans="1:54" ht="15" customHeight="1" x14ac:dyDescent="0.25">
      <c r="B2" s="1" t="s">
        <v>42</v>
      </c>
      <c r="F2" s="3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Z2" s="1" t="s">
        <v>2</v>
      </c>
    </row>
    <row r="3" spans="1:54" ht="15" customHeight="1" x14ac:dyDescent="0.25">
      <c r="B3" s="1" t="s">
        <v>95</v>
      </c>
      <c r="F3" s="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Z3" s="4" t="s">
        <v>3</v>
      </c>
    </row>
    <row r="4" spans="1:54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</row>
    <row r="5" spans="1:54" ht="17.25" customHeight="1" x14ac:dyDescent="0.25">
      <c r="B5" s="44" t="s">
        <v>101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</row>
    <row r="6" spans="1:54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4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4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4" ht="60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3"/>
      <c r="AC9" s="64" t="s">
        <v>12</v>
      </c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6"/>
      <c r="BA9" s="9" t="s">
        <v>13</v>
      </c>
      <c r="BB9" s="46" t="s">
        <v>14</v>
      </c>
    </row>
    <row r="10" spans="1:54" s="11" customFormat="1" ht="23.25" customHeight="1" x14ac:dyDescent="0.25">
      <c r="B10" s="60"/>
      <c r="C10" s="60"/>
      <c r="D10" s="60"/>
      <c r="E10" s="60"/>
      <c r="F10" s="49" t="s">
        <v>15</v>
      </c>
      <c r="G10" s="51" t="s">
        <v>15</v>
      </c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 t="s">
        <v>15</v>
      </c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3"/>
      <c r="BA10" s="49" t="s">
        <v>16</v>
      </c>
      <c r="BB10" s="47"/>
    </row>
    <row r="11" spans="1:54" s="12" customFormat="1" ht="72.75" customHeight="1" x14ac:dyDescent="0.25">
      <c r="B11" s="60"/>
      <c r="C11" s="60"/>
      <c r="D11" s="60"/>
      <c r="E11" s="60"/>
      <c r="F11" s="50"/>
      <c r="G11" s="32" t="s">
        <v>226</v>
      </c>
      <c r="H11" s="32" t="s">
        <v>227</v>
      </c>
      <c r="I11" s="32" t="s">
        <v>228</v>
      </c>
      <c r="J11" s="32" t="s">
        <v>230</v>
      </c>
      <c r="K11" s="32" t="s">
        <v>232</v>
      </c>
      <c r="L11" s="32" t="s">
        <v>234</v>
      </c>
      <c r="M11" s="32" t="s">
        <v>235</v>
      </c>
      <c r="N11" s="32" t="s">
        <v>236</v>
      </c>
      <c r="O11" s="32" t="s">
        <v>238</v>
      </c>
      <c r="P11" s="32" t="s">
        <v>240</v>
      </c>
      <c r="Q11" s="32" t="s">
        <v>241</v>
      </c>
      <c r="R11" s="32" t="s">
        <v>242</v>
      </c>
      <c r="S11" s="32" t="s">
        <v>243</v>
      </c>
      <c r="T11" s="32" t="s">
        <v>244</v>
      </c>
      <c r="U11" s="32" t="s">
        <v>245</v>
      </c>
      <c r="V11" s="32" t="s">
        <v>246</v>
      </c>
      <c r="W11" s="32" t="s">
        <v>247</v>
      </c>
      <c r="X11" s="32" t="s">
        <v>248</v>
      </c>
      <c r="Y11" s="32" t="s">
        <v>250</v>
      </c>
      <c r="Z11" s="32" t="s">
        <v>251</v>
      </c>
      <c r="AA11" s="32" t="s">
        <v>253</v>
      </c>
      <c r="AB11" s="32" t="s">
        <v>17</v>
      </c>
      <c r="AC11" s="32" t="s">
        <v>226</v>
      </c>
      <c r="AD11" s="32" t="s">
        <v>228</v>
      </c>
      <c r="AE11" s="32" t="s">
        <v>229</v>
      </c>
      <c r="AF11" s="32" t="s">
        <v>230</v>
      </c>
      <c r="AG11" s="32" t="s">
        <v>231</v>
      </c>
      <c r="AH11" s="32" t="s">
        <v>232</v>
      </c>
      <c r="AI11" s="32" t="s">
        <v>233</v>
      </c>
      <c r="AJ11" s="32" t="s">
        <v>234</v>
      </c>
      <c r="AK11" s="32" t="s">
        <v>235</v>
      </c>
      <c r="AL11" s="32" t="s">
        <v>237</v>
      </c>
      <c r="AM11" s="32" t="s">
        <v>238</v>
      </c>
      <c r="AN11" s="32" t="s">
        <v>239</v>
      </c>
      <c r="AO11" s="32" t="s">
        <v>241</v>
      </c>
      <c r="AP11" s="32" t="s">
        <v>243</v>
      </c>
      <c r="AQ11" s="32" t="s">
        <v>244</v>
      </c>
      <c r="AR11" s="32" t="s">
        <v>245</v>
      </c>
      <c r="AS11" s="32" t="s">
        <v>246</v>
      </c>
      <c r="AT11" s="32" t="s">
        <v>247</v>
      </c>
      <c r="AU11" s="32" t="s">
        <v>248</v>
      </c>
      <c r="AV11" s="32" t="s">
        <v>250</v>
      </c>
      <c r="AW11" s="32" t="s">
        <v>251</v>
      </c>
      <c r="AX11" s="32" t="s">
        <v>252</v>
      </c>
      <c r="AY11" s="32" t="s">
        <v>257</v>
      </c>
      <c r="AZ11" s="33" t="s">
        <v>18</v>
      </c>
      <c r="BA11" s="50"/>
      <c r="BB11" s="48"/>
    </row>
    <row r="12" spans="1:54" s="12" customFormat="1" ht="52.5" customHeight="1" x14ac:dyDescent="0.25">
      <c r="A12" s="3"/>
      <c r="B12" s="34" t="s">
        <v>19</v>
      </c>
      <c r="C12" s="34" t="s">
        <v>20</v>
      </c>
      <c r="D12" s="34" t="s">
        <v>21</v>
      </c>
      <c r="E12" s="34" t="s">
        <v>22</v>
      </c>
      <c r="F12" s="34" t="s">
        <v>23</v>
      </c>
      <c r="G12" s="35" t="s">
        <v>24</v>
      </c>
      <c r="H12" s="35" t="s">
        <v>25</v>
      </c>
      <c r="I12" s="35" t="s">
        <v>46</v>
      </c>
      <c r="J12" s="35" t="s">
        <v>47</v>
      </c>
      <c r="K12" s="35" t="s">
        <v>48</v>
      </c>
      <c r="L12" s="35" t="s">
        <v>49</v>
      </c>
      <c r="M12" s="35" t="s">
        <v>50</v>
      </c>
      <c r="N12" s="35" t="s">
        <v>51</v>
      </c>
      <c r="O12" s="35" t="s">
        <v>52</v>
      </c>
      <c r="P12" s="35" t="s">
        <v>53</v>
      </c>
      <c r="Q12" s="35" t="s">
        <v>54</v>
      </c>
      <c r="R12" s="35" t="s">
        <v>55</v>
      </c>
      <c r="S12" s="35" t="s">
        <v>89</v>
      </c>
      <c r="T12" s="35" t="s">
        <v>90</v>
      </c>
      <c r="U12" s="35" t="s">
        <v>174</v>
      </c>
      <c r="V12" s="35" t="s">
        <v>175</v>
      </c>
      <c r="W12" s="35" t="s">
        <v>176</v>
      </c>
      <c r="X12" s="35" t="s">
        <v>177</v>
      </c>
      <c r="Y12" s="35" t="s">
        <v>178</v>
      </c>
      <c r="Z12" s="35" t="s">
        <v>249</v>
      </c>
      <c r="AA12" s="35" t="s">
        <v>254</v>
      </c>
      <c r="AB12" s="35" t="s">
        <v>26</v>
      </c>
      <c r="AC12" s="35" t="s">
        <v>27</v>
      </c>
      <c r="AD12" s="35" t="s">
        <v>28</v>
      </c>
      <c r="AE12" s="35" t="s">
        <v>56</v>
      </c>
      <c r="AF12" s="35" t="s">
        <v>57</v>
      </c>
      <c r="AG12" s="35" t="s">
        <v>58</v>
      </c>
      <c r="AH12" s="35" t="s">
        <v>59</v>
      </c>
      <c r="AI12" s="35" t="s">
        <v>60</v>
      </c>
      <c r="AJ12" s="35" t="s">
        <v>61</v>
      </c>
      <c r="AK12" s="35" t="s">
        <v>62</v>
      </c>
      <c r="AL12" s="35" t="s">
        <v>63</v>
      </c>
      <c r="AM12" s="35" t="s">
        <v>64</v>
      </c>
      <c r="AN12" s="35" t="s">
        <v>65</v>
      </c>
      <c r="AO12" s="35" t="s">
        <v>66</v>
      </c>
      <c r="AP12" s="35" t="s">
        <v>67</v>
      </c>
      <c r="AQ12" s="36" t="s">
        <v>68</v>
      </c>
      <c r="AR12" s="36" t="s">
        <v>158</v>
      </c>
      <c r="AS12" s="36" t="s">
        <v>159</v>
      </c>
      <c r="AT12" s="36" t="s">
        <v>160</v>
      </c>
      <c r="AU12" s="36" t="s">
        <v>161</v>
      </c>
      <c r="AV12" s="36" t="s">
        <v>162</v>
      </c>
      <c r="AW12" s="36" t="s">
        <v>179</v>
      </c>
      <c r="AX12" s="36" t="s">
        <v>180</v>
      </c>
      <c r="AY12" s="36" t="s">
        <v>181</v>
      </c>
      <c r="AZ12" s="37" t="s">
        <v>29</v>
      </c>
      <c r="BA12" s="38" t="s">
        <v>30</v>
      </c>
      <c r="BB12" s="34" t="s">
        <v>31</v>
      </c>
    </row>
    <row r="13" spans="1:54" s="22" customFormat="1" ht="209.25" customHeight="1" x14ac:dyDescent="0.25">
      <c r="B13" s="15">
        <v>1</v>
      </c>
      <c r="C13" s="24" t="s">
        <v>44</v>
      </c>
      <c r="D13" s="16"/>
      <c r="E13" s="16" t="s">
        <v>45</v>
      </c>
      <c r="F13" s="16">
        <f>'T04'!AQ13</f>
        <v>1686</v>
      </c>
      <c r="G13" s="23">
        <v>3</v>
      </c>
      <c r="H13" s="23">
        <v>3</v>
      </c>
      <c r="I13" s="23">
        <f>3*3</f>
        <v>9</v>
      </c>
      <c r="J13" s="23">
        <f>3*3</f>
        <v>9</v>
      </c>
      <c r="K13" s="23">
        <f>3*6</f>
        <v>18</v>
      </c>
      <c r="L13" s="23">
        <f>6*2+3*2+3*4</f>
        <v>30</v>
      </c>
      <c r="M13" s="23">
        <v>1</v>
      </c>
      <c r="N13" s="23">
        <f>3*4</f>
        <v>12</v>
      </c>
      <c r="O13" s="23">
        <f>3*5+2</f>
        <v>17</v>
      </c>
      <c r="P13" s="23">
        <f>3*3</f>
        <v>9</v>
      </c>
      <c r="Q13" s="23">
        <f>3*3</f>
        <v>9</v>
      </c>
      <c r="R13" s="23">
        <f>3*2</f>
        <v>6</v>
      </c>
      <c r="S13" s="23">
        <v>3</v>
      </c>
      <c r="T13" s="23">
        <f>3*2</f>
        <v>6</v>
      </c>
      <c r="U13" s="23">
        <v>1</v>
      </c>
      <c r="V13" s="23">
        <f>3*2</f>
        <v>6</v>
      </c>
      <c r="W13" s="23">
        <f>3+1</f>
        <v>4</v>
      </c>
      <c r="X13" s="23">
        <v>3</v>
      </c>
      <c r="Y13" s="23">
        <v>3</v>
      </c>
      <c r="Z13" s="23">
        <f>3*2+3*6</f>
        <v>24</v>
      </c>
      <c r="AA13" s="23">
        <f>3*3</f>
        <v>9</v>
      </c>
      <c r="AB13" s="25">
        <f>SUM(G13:AA13)</f>
        <v>185</v>
      </c>
      <c r="AC13" s="16">
        <f>3*4</f>
        <v>12</v>
      </c>
      <c r="AD13" s="16">
        <f>3+6+3+3</f>
        <v>15</v>
      </c>
      <c r="AE13" s="16">
        <v>3</v>
      </c>
      <c r="AF13" s="23">
        <v>3</v>
      </c>
      <c r="AG13" s="16">
        <f>2*4+3+3</f>
        <v>14</v>
      </c>
      <c r="AH13" s="23">
        <f>2+3</f>
        <v>5</v>
      </c>
      <c r="AI13" s="16">
        <v>3</v>
      </c>
      <c r="AJ13" s="16">
        <f>3*3</f>
        <v>9</v>
      </c>
      <c r="AK13" s="16">
        <v>1</v>
      </c>
      <c r="AL13" s="16">
        <f>3*2+1</f>
        <v>7</v>
      </c>
      <c r="AM13" s="16">
        <f>2*3+3</f>
        <v>9</v>
      </c>
      <c r="AN13" s="16">
        <f>3*2</f>
        <v>6</v>
      </c>
      <c r="AO13" s="16">
        <f>3*4</f>
        <v>12</v>
      </c>
      <c r="AP13" s="16">
        <f>3*2</f>
        <v>6</v>
      </c>
      <c r="AQ13" s="23">
        <f>3*2</f>
        <v>6</v>
      </c>
      <c r="AR13" s="23">
        <f>3*3+1</f>
        <v>10</v>
      </c>
      <c r="AS13" s="23">
        <f>3+6*2+3</f>
        <v>18</v>
      </c>
      <c r="AT13" s="23">
        <f>2+3+1</f>
        <v>6</v>
      </c>
      <c r="AU13" s="23">
        <v>9</v>
      </c>
      <c r="AV13" s="23">
        <f>9+6+3+50</f>
        <v>68</v>
      </c>
      <c r="AW13" s="23">
        <f>2*3+6*4+3*2</f>
        <v>36</v>
      </c>
      <c r="AX13" s="23">
        <f>3*5</f>
        <v>15</v>
      </c>
      <c r="AY13" s="23">
        <f>3+6</f>
        <v>9</v>
      </c>
      <c r="AZ13" s="25">
        <f>SUM(AC13:AY13)</f>
        <v>282</v>
      </c>
      <c r="BA13" s="25">
        <f>F13+AB13-AZ13</f>
        <v>1589</v>
      </c>
      <c r="BB13" s="24" t="s">
        <v>255</v>
      </c>
    </row>
    <row r="14" spans="1:54" ht="24" customHeight="1" x14ac:dyDescent="0.25">
      <c r="B14" s="15" t="s">
        <v>32</v>
      </c>
      <c r="C14" s="15"/>
      <c r="D14" s="15"/>
      <c r="E14" s="15"/>
      <c r="F14" s="8">
        <f>F13</f>
        <v>1686</v>
      </c>
      <c r="G14" s="8">
        <f t="shared" ref="G14:BA14" si="0">G13</f>
        <v>3</v>
      </c>
      <c r="H14" s="8">
        <f t="shared" si="0"/>
        <v>3</v>
      </c>
      <c r="I14" s="8">
        <f t="shared" si="0"/>
        <v>9</v>
      </c>
      <c r="J14" s="8">
        <f t="shared" si="0"/>
        <v>9</v>
      </c>
      <c r="K14" s="8">
        <f t="shared" si="0"/>
        <v>18</v>
      </c>
      <c r="L14" s="8">
        <f t="shared" si="0"/>
        <v>30</v>
      </c>
      <c r="M14" s="8">
        <f t="shared" si="0"/>
        <v>1</v>
      </c>
      <c r="N14" s="8">
        <f t="shared" si="0"/>
        <v>12</v>
      </c>
      <c r="O14" s="8">
        <f t="shared" si="0"/>
        <v>17</v>
      </c>
      <c r="P14" s="8">
        <f t="shared" si="0"/>
        <v>9</v>
      </c>
      <c r="Q14" s="8">
        <f t="shared" si="0"/>
        <v>9</v>
      </c>
      <c r="R14" s="8">
        <f t="shared" si="0"/>
        <v>6</v>
      </c>
      <c r="S14" s="8">
        <f t="shared" si="0"/>
        <v>3</v>
      </c>
      <c r="T14" s="8">
        <f t="shared" si="0"/>
        <v>6</v>
      </c>
      <c r="U14" s="8">
        <f t="shared" si="0"/>
        <v>1</v>
      </c>
      <c r="V14" s="8">
        <f t="shared" si="0"/>
        <v>6</v>
      </c>
      <c r="W14" s="8">
        <f t="shared" si="0"/>
        <v>4</v>
      </c>
      <c r="X14" s="8">
        <f t="shared" si="0"/>
        <v>3</v>
      </c>
      <c r="Y14" s="8">
        <f t="shared" si="0"/>
        <v>3</v>
      </c>
      <c r="Z14" s="8">
        <f t="shared" si="0"/>
        <v>24</v>
      </c>
      <c r="AA14" s="8">
        <f t="shared" si="0"/>
        <v>9</v>
      </c>
      <c r="AB14" s="8">
        <f t="shared" si="0"/>
        <v>185</v>
      </c>
      <c r="AC14" s="8">
        <f t="shared" si="0"/>
        <v>12</v>
      </c>
      <c r="AD14" s="8">
        <f t="shared" si="0"/>
        <v>15</v>
      </c>
      <c r="AE14" s="8">
        <f t="shared" si="0"/>
        <v>3</v>
      </c>
      <c r="AF14" s="8">
        <f t="shared" si="0"/>
        <v>3</v>
      </c>
      <c r="AG14" s="8">
        <f t="shared" si="0"/>
        <v>14</v>
      </c>
      <c r="AH14" s="8">
        <f t="shared" si="0"/>
        <v>5</v>
      </c>
      <c r="AI14" s="8">
        <f t="shared" si="0"/>
        <v>3</v>
      </c>
      <c r="AJ14" s="8">
        <f t="shared" si="0"/>
        <v>9</v>
      </c>
      <c r="AK14" s="8">
        <f t="shared" si="0"/>
        <v>1</v>
      </c>
      <c r="AL14" s="8">
        <f t="shared" si="0"/>
        <v>7</v>
      </c>
      <c r="AM14" s="8">
        <f t="shared" si="0"/>
        <v>9</v>
      </c>
      <c r="AN14" s="8">
        <f t="shared" si="0"/>
        <v>6</v>
      </c>
      <c r="AO14" s="8">
        <f t="shared" si="0"/>
        <v>12</v>
      </c>
      <c r="AP14" s="8">
        <f t="shared" si="0"/>
        <v>6</v>
      </c>
      <c r="AQ14" s="8">
        <f t="shared" si="0"/>
        <v>6</v>
      </c>
      <c r="AR14" s="8">
        <f t="shared" si="0"/>
        <v>10</v>
      </c>
      <c r="AS14" s="8">
        <f t="shared" si="0"/>
        <v>18</v>
      </c>
      <c r="AT14" s="8">
        <f t="shared" si="0"/>
        <v>6</v>
      </c>
      <c r="AU14" s="8">
        <f t="shared" si="0"/>
        <v>9</v>
      </c>
      <c r="AV14" s="8">
        <f t="shared" si="0"/>
        <v>68</v>
      </c>
      <c r="AW14" s="8">
        <f t="shared" si="0"/>
        <v>36</v>
      </c>
      <c r="AX14" s="8">
        <f t="shared" si="0"/>
        <v>15</v>
      </c>
      <c r="AY14" s="8">
        <f t="shared" si="0"/>
        <v>9</v>
      </c>
      <c r="AZ14" s="8">
        <f t="shared" si="0"/>
        <v>282</v>
      </c>
      <c r="BA14" s="8">
        <f t="shared" si="0"/>
        <v>1589</v>
      </c>
      <c r="BB14" s="27"/>
    </row>
    <row r="15" spans="1:54" ht="24" customHeight="1" x14ac:dyDescent="0.25">
      <c r="B15" s="17"/>
      <c r="C15" s="17"/>
      <c r="D15" s="17"/>
      <c r="E15" s="17"/>
      <c r="F15" s="18" t="s">
        <v>96</v>
      </c>
      <c r="AB15" s="57" t="s">
        <v>33</v>
      </c>
      <c r="AC15" s="57"/>
      <c r="AD15" s="57"/>
      <c r="AE15" s="57"/>
      <c r="AF15" s="57"/>
      <c r="AG15" s="57"/>
      <c r="AH15" s="57"/>
      <c r="AI15" s="57"/>
      <c r="AJ15" s="57"/>
      <c r="AK15" s="5"/>
      <c r="AL15" s="5"/>
      <c r="AM15" s="5"/>
      <c r="AN15" s="5"/>
      <c r="AO15" s="5"/>
      <c r="AP15" s="5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4" ht="24" customHeight="1" x14ac:dyDescent="0.25">
      <c r="B16" s="17"/>
      <c r="C16" s="17"/>
      <c r="D16" s="17"/>
      <c r="E16" s="17"/>
      <c r="F16" s="18"/>
      <c r="AB16" s="44"/>
      <c r="AC16" s="44"/>
      <c r="AD16" s="44"/>
      <c r="AE16" s="44"/>
      <c r="AF16" s="44"/>
      <c r="AG16" s="44"/>
      <c r="AH16" s="44"/>
      <c r="AI16" s="44"/>
      <c r="AJ16" s="44"/>
      <c r="AK16" s="5"/>
      <c r="AL16" s="5"/>
      <c r="AM16" s="5"/>
      <c r="AN16" s="5"/>
      <c r="AO16" s="5"/>
      <c r="AP16" s="5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  <row r="17" spans="2:53" ht="24" customHeight="1" x14ac:dyDescent="0.25">
      <c r="B17" s="17"/>
      <c r="C17" s="17"/>
      <c r="D17" s="17"/>
      <c r="E17" s="17"/>
    </row>
    <row r="18" spans="2:53" ht="24" customHeight="1" x14ac:dyDescent="0.25">
      <c r="B18" s="17"/>
      <c r="C18" s="17"/>
      <c r="D18" s="17"/>
      <c r="E18" s="17"/>
    </row>
    <row r="19" spans="2:53" ht="24" customHeight="1" x14ac:dyDescent="0.25">
      <c r="B19" s="17"/>
      <c r="C19" s="17"/>
      <c r="D19" s="17"/>
      <c r="E19" s="17"/>
      <c r="F19" s="19" t="s">
        <v>94</v>
      </c>
    </row>
    <row r="20" spans="2:53" ht="24" customHeight="1" x14ac:dyDescent="0.3">
      <c r="B20" s="17"/>
      <c r="C20" s="17"/>
      <c r="D20" s="17"/>
      <c r="E20" s="17"/>
      <c r="F20" s="21"/>
      <c r="AB20" s="45" t="s">
        <v>92</v>
      </c>
      <c r="AC20" s="45"/>
      <c r="AD20" s="45"/>
      <c r="AE20" s="45"/>
      <c r="AF20" s="45"/>
      <c r="AG20" s="45"/>
      <c r="AH20" s="45"/>
      <c r="AI20" s="45"/>
      <c r="AJ20" s="45"/>
    </row>
    <row r="21" spans="2:53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2:53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</row>
    <row r="23" spans="2:53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</row>
    <row r="24" spans="2:53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</row>
    <row r="25" spans="2:53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</row>
    <row r="26" spans="2:53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28"/>
      <c r="AS26" s="28"/>
      <c r="AT26" s="28"/>
      <c r="AU26" s="28"/>
      <c r="AV26" s="28"/>
      <c r="AW26" s="28"/>
      <c r="AX26" s="28"/>
      <c r="AY26" s="28"/>
    </row>
    <row r="27" spans="2:53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28"/>
      <c r="AS27" s="28"/>
      <c r="AT27" s="28"/>
      <c r="AU27" s="28"/>
      <c r="AV27" s="28"/>
      <c r="AW27" s="28"/>
      <c r="AX27" s="28"/>
      <c r="AY27" s="28"/>
    </row>
    <row r="28" spans="2:53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</row>
  </sheetData>
  <sheetProtection algorithmName="SHA-512" hashValue="qQcHWCxnIgdPSzGK6UdJJHa5Vfn+J+yEyMRBsNTrZbDd0HBMbA5b1/wZY77t+W91NbLKmt8GeUWJLWJXPgzufA==" saltValue="Oo2qdRwG/WHQxiIrAS76BA==" spinCount="100000" sheet="1" objects="1" scenarios="1"/>
  <mergeCells count="23">
    <mergeCell ref="B4:BA4"/>
    <mergeCell ref="B5:BA5"/>
    <mergeCell ref="B9:B11"/>
    <mergeCell ref="C9:C11"/>
    <mergeCell ref="D9:D11"/>
    <mergeCell ref="E9:E11"/>
    <mergeCell ref="G9:AB9"/>
    <mergeCell ref="AC9:AZ9"/>
    <mergeCell ref="AC10:AZ10"/>
    <mergeCell ref="G10:AB10"/>
    <mergeCell ref="BB9:BB11"/>
    <mergeCell ref="F10:F11"/>
    <mergeCell ref="BA10:BA11"/>
    <mergeCell ref="B26:AQ26"/>
    <mergeCell ref="B27:AQ27"/>
    <mergeCell ref="AB15:AJ15"/>
    <mergeCell ref="B28:AZ28"/>
    <mergeCell ref="AB16:AJ16"/>
    <mergeCell ref="AB20:AJ20"/>
    <mergeCell ref="B22:BA22"/>
    <mergeCell ref="B23:BA23"/>
    <mergeCell ref="B24:BA24"/>
    <mergeCell ref="B25:BA25"/>
  </mergeCells>
  <phoneticPr fontId="12" type="noConversion"/>
  <pageMargins left="0" right="0.23622047244094499" top="0.5" bottom="0.47244094488188998" header="0" footer="0"/>
  <pageSetup paperSize="9" scale="3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52A3-67AA-4B29-92A7-2D36B47B10C6}">
  <sheetPr codeName="Sheet6">
    <pageSetUpPr fitToPage="1"/>
  </sheetPr>
  <dimension ref="B1:BT28"/>
  <sheetViews>
    <sheetView tabSelected="1" zoomScale="66" zoomScaleNormal="66" workbookViewId="0">
      <selection activeCell="AL13" sqref="AL13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7.7109375" style="1" customWidth="1"/>
    <col min="4" max="4" width="16.28515625" style="1" customWidth="1"/>
    <col min="5" max="5" width="13.42578125" style="1" customWidth="1"/>
    <col min="6" max="6" width="16.7109375" style="1" customWidth="1"/>
    <col min="7" max="15" width="7.28515625" style="1" bestFit="1" customWidth="1"/>
    <col min="16" max="20" width="7.7109375" style="1" bestFit="1" customWidth="1"/>
    <col min="21" max="32" width="7.7109375" style="3" bestFit="1" customWidth="1"/>
    <col min="33" max="33" width="8.42578125" style="3" bestFit="1" customWidth="1"/>
    <col min="34" max="37" width="7.7109375" style="3" bestFit="1" customWidth="1"/>
    <col min="38" max="38" width="10.7109375" style="3" customWidth="1"/>
    <col min="39" max="47" width="9.28515625" style="3" customWidth="1"/>
    <col min="48" max="67" width="7.7109375" style="3" bestFit="1" customWidth="1"/>
    <col min="68" max="68" width="7.7109375" style="3" customWidth="1"/>
    <col min="69" max="69" width="7.7109375" style="3" bestFit="1" customWidth="1"/>
    <col min="70" max="70" width="17.140625" style="1" customWidth="1"/>
    <col min="71" max="71" width="21" style="1" customWidth="1"/>
    <col min="72" max="72" width="20.7109375" style="1" customWidth="1"/>
    <col min="73" max="301" width="8.7109375" style="1"/>
    <col min="302" max="302" width="3.7109375" style="1" customWidth="1"/>
    <col min="303" max="303" width="4.28515625" style="1" customWidth="1"/>
    <col min="304" max="304" width="11.28515625" style="1" customWidth="1"/>
    <col min="305" max="305" width="13.42578125" style="1" customWidth="1"/>
    <col min="306" max="308" width="5.42578125" style="1" customWidth="1"/>
    <col min="309" max="309" width="8.28515625" style="1" customWidth="1"/>
    <col min="310" max="312" width="4.7109375" style="1" customWidth="1"/>
    <col min="313" max="313" width="11.7109375" style="1" customWidth="1"/>
    <col min="314" max="315" width="7" style="1" customWidth="1"/>
    <col min="316" max="316" width="6.42578125" style="1" customWidth="1"/>
    <col min="317" max="317" width="15" style="1" customWidth="1"/>
    <col min="318" max="318" width="5.28515625" style="1" customWidth="1"/>
    <col min="319" max="321" width="4.7109375" style="1" customWidth="1"/>
    <col min="322" max="322" width="11.7109375" style="1" customWidth="1"/>
    <col min="323" max="323" width="10" style="1" customWidth="1"/>
    <col min="324" max="324" width="7.42578125" style="1" customWidth="1"/>
    <col min="325" max="325" width="7.140625" style="1" customWidth="1"/>
    <col min="326" max="326" width="6.42578125" style="1" customWidth="1"/>
    <col min="327" max="557" width="8.7109375" style="1"/>
    <col min="558" max="558" width="3.7109375" style="1" customWidth="1"/>
    <col min="559" max="559" width="4.28515625" style="1" customWidth="1"/>
    <col min="560" max="560" width="11.28515625" style="1" customWidth="1"/>
    <col min="561" max="561" width="13.42578125" style="1" customWidth="1"/>
    <col min="562" max="564" width="5.42578125" style="1" customWidth="1"/>
    <col min="565" max="565" width="8.28515625" style="1" customWidth="1"/>
    <col min="566" max="568" width="4.7109375" style="1" customWidth="1"/>
    <col min="569" max="569" width="11.7109375" style="1" customWidth="1"/>
    <col min="570" max="571" width="7" style="1" customWidth="1"/>
    <col min="572" max="572" width="6.42578125" style="1" customWidth="1"/>
    <col min="573" max="573" width="15" style="1" customWidth="1"/>
    <col min="574" max="574" width="5.28515625" style="1" customWidth="1"/>
    <col min="575" max="577" width="4.7109375" style="1" customWidth="1"/>
    <col min="578" max="578" width="11.7109375" style="1" customWidth="1"/>
    <col min="579" max="579" width="10" style="1" customWidth="1"/>
    <col min="580" max="580" width="7.42578125" style="1" customWidth="1"/>
    <col min="581" max="581" width="7.140625" style="1" customWidth="1"/>
    <col min="582" max="582" width="6.42578125" style="1" customWidth="1"/>
    <col min="583" max="813" width="8.7109375" style="1"/>
    <col min="814" max="814" width="3.7109375" style="1" customWidth="1"/>
    <col min="815" max="815" width="4.28515625" style="1" customWidth="1"/>
    <col min="816" max="816" width="11.28515625" style="1" customWidth="1"/>
    <col min="817" max="817" width="13.42578125" style="1" customWidth="1"/>
    <col min="818" max="820" width="5.42578125" style="1" customWidth="1"/>
    <col min="821" max="821" width="8.28515625" style="1" customWidth="1"/>
    <col min="822" max="824" width="4.7109375" style="1" customWidth="1"/>
    <col min="825" max="825" width="11.7109375" style="1" customWidth="1"/>
    <col min="826" max="827" width="7" style="1" customWidth="1"/>
    <col min="828" max="828" width="6.42578125" style="1" customWidth="1"/>
    <col min="829" max="829" width="15" style="1" customWidth="1"/>
    <col min="830" max="830" width="5.28515625" style="1" customWidth="1"/>
    <col min="831" max="833" width="4.7109375" style="1" customWidth="1"/>
    <col min="834" max="834" width="11.7109375" style="1" customWidth="1"/>
    <col min="835" max="835" width="10" style="1" customWidth="1"/>
    <col min="836" max="836" width="7.42578125" style="1" customWidth="1"/>
    <col min="837" max="837" width="7.140625" style="1" customWidth="1"/>
    <col min="838" max="838" width="6.42578125" style="1" customWidth="1"/>
    <col min="839" max="1069" width="8.7109375" style="1"/>
    <col min="1070" max="1070" width="3.7109375" style="1" customWidth="1"/>
    <col min="1071" max="1071" width="4.28515625" style="1" customWidth="1"/>
    <col min="1072" max="1072" width="11.28515625" style="1" customWidth="1"/>
    <col min="1073" max="1073" width="13.42578125" style="1" customWidth="1"/>
    <col min="1074" max="1076" width="5.42578125" style="1" customWidth="1"/>
    <col min="1077" max="1077" width="8.28515625" style="1" customWidth="1"/>
    <col min="1078" max="1080" width="4.7109375" style="1" customWidth="1"/>
    <col min="1081" max="1081" width="11.7109375" style="1" customWidth="1"/>
    <col min="1082" max="1083" width="7" style="1" customWidth="1"/>
    <col min="1084" max="1084" width="6.42578125" style="1" customWidth="1"/>
    <col min="1085" max="1085" width="15" style="1" customWidth="1"/>
    <col min="1086" max="1086" width="5.28515625" style="1" customWidth="1"/>
    <col min="1087" max="1089" width="4.7109375" style="1" customWidth="1"/>
    <col min="1090" max="1090" width="11.7109375" style="1" customWidth="1"/>
    <col min="1091" max="1091" width="10" style="1" customWidth="1"/>
    <col min="1092" max="1092" width="7.42578125" style="1" customWidth="1"/>
    <col min="1093" max="1093" width="7.140625" style="1" customWidth="1"/>
    <col min="1094" max="1094" width="6.42578125" style="1" customWidth="1"/>
    <col min="1095" max="1325" width="8.7109375" style="1"/>
    <col min="1326" max="1326" width="3.7109375" style="1" customWidth="1"/>
    <col min="1327" max="1327" width="4.28515625" style="1" customWidth="1"/>
    <col min="1328" max="1328" width="11.28515625" style="1" customWidth="1"/>
    <col min="1329" max="1329" width="13.42578125" style="1" customWidth="1"/>
    <col min="1330" max="1332" width="5.42578125" style="1" customWidth="1"/>
    <col min="1333" max="1333" width="8.28515625" style="1" customWidth="1"/>
    <col min="1334" max="1336" width="4.7109375" style="1" customWidth="1"/>
    <col min="1337" max="1337" width="11.7109375" style="1" customWidth="1"/>
    <col min="1338" max="1339" width="7" style="1" customWidth="1"/>
    <col min="1340" max="1340" width="6.42578125" style="1" customWidth="1"/>
    <col min="1341" max="1341" width="15" style="1" customWidth="1"/>
    <col min="1342" max="1342" width="5.28515625" style="1" customWidth="1"/>
    <col min="1343" max="1345" width="4.7109375" style="1" customWidth="1"/>
    <col min="1346" max="1346" width="11.7109375" style="1" customWidth="1"/>
    <col min="1347" max="1347" width="10" style="1" customWidth="1"/>
    <col min="1348" max="1348" width="7.42578125" style="1" customWidth="1"/>
    <col min="1349" max="1349" width="7.140625" style="1" customWidth="1"/>
    <col min="1350" max="1350" width="6.42578125" style="1" customWidth="1"/>
    <col min="1351" max="1581" width="8.7109375" style="1"/>
    <col min="1582" max="1582" width="3.7109375" style="1" customWidth="1"/>
    <col min="1583" max="1583" width="4.28515625" style="1" customWidth="1"/>
    <col min="1584" max="1584" width="11.28515625" style="1" customWidth="1"/>
    <col min="1585" max="1585" width="13.42578125" style="1" customWidth="1"/>
    <col min="1586" max="1588" width="5.42578125" style="1" customWidth="1"/>
    <col min="1589" max="1589" width="8.28515625" style="1" customWidth="1"/>
    <col min="1590" max="1592" width="4.7109375" style="1" customWidth="1"/>
    <col min="1593" max="1593" width="11.7109375" style="1" customWidth="1"/>
    <col min="1594" max="1595" width="7" style="1" customWidth="1"/>
    <col min="1596" max="1596" width="6.42578125" style="1" customWidth="1"/>
    <col min="1597" max="1597" width="15" style="1" customWidth="1"/>
    <col min="1598" max="1598" width="5.28515625" style="1" customWidth="1"/>
    <col min="1599" max="1601" width="4.7109375" style="1" customWidth="1"/>
    <col min="1602" max="1602" width="11.7109375" style="1" customWidth="1"/>
    <col min="1603" max="1603" width="10" style="1" customWidth="1"/>
    <col min="1604" max="1604" width="7.42578125" style="1" customWidth="1"/>
    <col min="1605" max="1605" width="7.140625" style="1" customWidth="1"/>
    <col min="1606" max="1606" width="6.42578125" style="1" customWidth="1"/>
    <col min="1607" max="1837" width="8.7109375" style="1"/>
    <col min="1838" max="1838" width="3.7109375" style="1" customWidth="1"/>
    <col min="1839" max="1839" width="4.28515625" style="1" customWidth="1"/>
    <col min="1840" max="1840" width="11.28515625" style="1" customWidth="1"/>
    <col min="1841" max="1841" width="13.42578125" style="1" customWidth="1"/>
    <col min="1842" max="1844" width="5.42578125" style="1" customWidth="1"/>
    <col min="1845" max="1845" width="8.28515625" style="1" customWidth="1"/>
    <col min="1846" max="1848" width="4.7109375" style="1" customWidth="1"/>
    <col min="1849" max="1849" width="11.7109375" style="1" customWidth="1"/>
    <col min="1850" max="1851" width="7" style="1" customWidth="1"/>
    <col min="1852" max="1852" width="6.42578125" style="1" customWidth="1"/>
    <col min="1853" max="1853" width="15" style="1" customWidth="1"/>
    <col min="1854" max="1854" width="5.28515625" style="1" customWidth="1"/>
    <col min="1855" max="1857" width="4.7109375" style="1" customWidth="1"/>
    <col min="1858" max="1858" width="11.7109375" style="1" customWidth="1"/>
    <col min="1859" max="1859" width="10" style="1" customWidth="1"/>
    <col min="1860" max="1860" width="7.42578125" style="1" customWidth="1"/>
    <col min="1861" max="1861" width="7.140625" style="1" customWidth="1"/>
    <col min="1862" max="1862" width="6.42578125" style="1" customWidth="1"/>
    <col min="1863" max="2093" width="8.7109375" style="1"/>
    <col min="2094" max="2094" width="3.7109375" style="1" customWidth="1"/>
    <col min="2095" max="2095" width="4.28515625" style="1" customWidth="1"/>
    <col min="2096" max="2096" width="11.28515625" style="1" customWidth="1"/>
    <col min="2097" max="2097" width="13.42578125" style="1" customWidth="1"/>
    <col min="2098" max="2100" width="5.42578125" style="1" customWidth="1"/>
    <col min="2101" max="2101" width="8.28515625" style="1" customWidth="1"/>
    <col min="2102" max="2104" width="4.7109375" style="1" customWidth="1"/>
    <col min="2105" max="2105" width="11.7109375" style="1" customWidth="1"/>
    <col min="2106" max="2107" width="7" style="1" customWidth="1"/>
    <col min="2108" max="2108" width="6.42578125" style="1" customWidth="1"/>
    <col min="2109" max="2109" width="15" style="1" customWidth="1"/>
    <col min="2110" max="2110" width="5.28515625" style="1" customWidth="1"/>
    <col min="2111" max="2113" width="4.7109375" style="1" customWidth="1"/>
    <col min="2114" max="2114" width="11.7109375" style="1" customWidth="1"/>
    <col min="2115" max="2115" width="10" style="1" customWidth="1"/>
    <col min="2116" max="2116" width="7.42578125" style="1" customWidth="1"/>
    <col min="2117" max="2117" width="7.140625" style="1" customWidth="1"/>
    <col min="2118" max="2118" width="6.42578125" style="1" customWidth="1"/>
    <col min="2119" max="2349" width="8.7109375" style="1"/>
    <col min="2350" max="2350" width="3.7109375" style="1" customWidth="1"/>
    <col min="2351" max="2351" width="4.28515625" style="1" customWidth="1"/>
    <col min="2352" max="2352" width="11.28515625" style="1" customWidth="1"/>
    <col min="2353" max="2353" width="13.42578125" style="1" customWidth="1"/>
    <col min="2354" max="2356" width="5.42578125" style="1" customWidth="1"/>
    <col min="2357" max="2357" width="8.28515625" style="1" customWidth="1"/>
    <col min="2358" max="2360" width="4.7109375" style="1" customWidth="1"/>
    <col min="2361" max="2361" width="11.7109375" style="1" customWidth="1"/>
    <col min="2362" max="2363" width="7" style="1" customWidth="1"/>
    <col min="2364" max="2364" width="6.42578125" style="1" customWidth="1"/>
    <col min="2365" max="2365" width="15" style="1" customWidth="1"/>
    <col min="2366" max="2366" width="5.28515625" style="1" customWidth="1"/>
    <col min="2367" max="2369" width="4.7109375" style="1" customWidth="1"/>
    <col min="2370" max="2370" width="11.7109375" style="1" customWidth="1"/>
    <col min="2371" max="2371" width="10" style="1" customWidth="1"/>
    <col min="2372" max="2372" width="7.42578125" style="1" customWidth="1"/>
    <col min="2373" max="2373" width="7.140625" style="1" customWidth="1"/>
    <col min="2374" max="2374" width="6.42578125" style="1" customWidth="1"/>
    <col min="2375" max="2605" width="8.7109375" style="1"/>
    <col min="2606" max="2606" width="3.7109375" style="1" customWidth="1"/>
    <col min="2607" max="2607" width="4.28515625" style="1" customWidth="1"/>
    <col min="2608" max="2608" width="11.28515625" style="1" customWidth="1"/>
    <col min="2609" max="2609" width="13.42578125" style="1" customWidth="1"/>
    <col min="2610" max="2612" width="5.42578125" style="1" customWidth="1"/>
    <col min="2613" max="2613" width="8.28515625" style="1" customWidth="1"/>
    <col min="2614" max="2616" width="4.7109375" style="1" customWidth="1"/>
    <col min="2617" max="2617" width="11.7109375" style="1" customWidth="1"/>
    <col min="2618" max="2619" width="7" style="1" customWidth="1"/>
    <col min="2620" max="2620" width="6.42578125" style="1" customWidth="1"/>
    <col min="2621" max="2621" width="15" style="1" customWidth="1"/>
    <col min="2622" max="2622" width="5.28515625" style="1" customWidth="1"/>
    <col min="2623" max="2625" width="4.7109375" style="1" customWidth="1"/>
    <col min="2626" max="2626" width="11.7109375" style="1" customWidth="1"/>
    <col min="2627" max="2627" width="10" style="1" customWidth="1"/>
    <col min="2628" max="2628" width="7.42578125" style="1" customWidth="1"/>
    <col min="2629" max="2629" width="7.140625" style="1" customWidth="1"/>
    <col min="2630" max="2630" width="6.42578125" style="1" customWidth="1"/>
    <col min="2631" max="2861" width="8.7109375" style="1"/>
    <col min="2862" max="2862" width="3.7109375" style="1" customWidth="1"/>
    <col min="2863" max="2863" width="4.28515625" style="1" customWidth="1"/>
    <col min="2864" max="2864" width="11.28515625" style="1" customWidth="1"/>
    <col min="2865" max="2865" width="13.42578125" style="1" customWidth="1"/>
    <col min="2866" max="2868" width="5.42578125" style="1" customWidth="1"/>
    <col min="2869" max="2869" width="8.28515625" style="1" customWidth="1"/>
    <col min="2870" max="2872" width="4.7109375" style="1" customWidth="1"/>
    <col min="2873" max="2873" width="11.7109375" style="1" customWidth="1"/>
    <col min="2874" max="2875" width="7" style="1" customWidth="1"/>
    <col min="2876" max="2876" width="6.42578125" style="1" customWidth="1"/>
    <col min="2877" max="2877" width="15" style="1" customWidth="1"/>
    <col min="2878" max="2878" width="5.28515625" style="1" customWidth="1"/>
    <col min="2879" max="2881" width="4.7109375" style="1" customWidth="1"/>
    <col min="2882" max="2882" width="11.7109375" style="1" customWidth="1"/>
    <col min="2883" max="2883" width="10" style="1" customWidth="1"/>
    <col min="2884" max="2884" width="7.42578125" style="1" customWidth="1"/>
    <col min="2885" max="2885" width="7.140625" style="1" customWidth="1"/>
    <col min="2886" max="2886" width="6.42578125" style="1" customWidth="1"/>
    <col min="2887" max="3117" width="8.7109375" style="1"/>
    <col min="3118" max="3118" width="3.7109375" style="1" customWidth="1"/>
    <col min="3119" max="3119" width="4.28515625" style="1" customWidth="1"/>
    <col min="3120" max="3120" width="11.28515625" style="1" customWidth="1"/>
    <col min="3121" max="3121" width="13.42578125" style="1" customWidth="1"/>
    <col min="3122" max="3124" width="5.42578125" style="1" customWidth="1"/>
    <col min="3125" max="3125" width="8.28515625" style="1" customWidth="1"/>
    <col min="3126" max="3128" width="4.7109375" style="1" customWidth="1"/>
    <col min="3129" max="3129" width="11.7109375" style="1" customWidth="1"/>
    <col min="3130" max="3131" width="7" style="1" customWidth="1"/>
    <col min="3132" max="3132" width="6.42578125" style="1" customWidth="1"/>
    <col min="3133" max="3133" width="15" style="1" customWidth="1"/>
    <col min="3134" max="3134" width="5.28515625" style="1" customWidth="1"/>
    <col min="3135" max="3137" width="4.7109375" style="1" customWidth="1"/>
    <col min="3138" max="3138" width="11.7109375" style="1" customWidth="1"/>
    <col min="3139" max="3139" width="10" style="1" customWidth="1"/>
    <col min="3140" max="3140" width="7.42578125" style="1" customWidth="1"/>
    <col min="3141" max="3141" width="7.140625" style="1" customWidth="1"/>
    <col min="3142" max="3142" width="6.42578125" style="1" customWidth="1"/>
    <col min="3143" max="3373" width="8.7109375" style="1"/>
    <col min="3374" max="3374" width="3.7109375" style="1" customWidth="1"/>
    <col min="3375" max="3375" width="4.28515625" style="1" customWidth="1"/>
    <col min="3376" max="3376" width="11.28515625" style="1" customWidth="1"/>
    <col min="3377" max="3377" width="13.42578125" style="1" customWidth="1"/>
    <col min="3378" max="3380" width="5.42578125" style="1" customWidth="1"/>
    <col min="3381" max="3381" width="8.28515625" style="1" customWidth="1"/>
    <col min="3382" max="3384" width="4.7109375" style="1" customWidth="1"/>
    <col min="3385" max="3385" width="11.7109375" style="1" customWidth="1"/>
    <col min="3386" max="3387" width="7" style="1" customWidth="1"/>
    <col min="3388" max="3388" width="6.42578125" style="1" customWidth="1"/>
    <col min="3389" max="3389" width="15" style="1" customWidth="1"/>
    <col min="3390" max="3390" width="5.28515625" style="1" customWidth="1"/>
    <col min="3391" max="3393" width="4.7109375" style="1" customWidth="1"/>
    <col min="3394" max="3394" width="11.7109375" style="1" customWidth="1"/>
    <col min="3395" max="3395" width="10" style="1" customWidth="1"/>
    <col min="3396" max="3396" width="7.42578125" style="1" customWidth="1"/>
    <col min="3397" max="3397" width="7.140625" style="1" customWidth="1"/>
    <col min="3398" max="3398" width="6.42578125" style="1" customWidth="1"/>
    <col min="3399" max="3629" width="8.7109375" style="1"/>
    <col min="3630" max="3630" width="3.7109375" style="1" customWidth="1"/>
    <col min="3631" max="3631" width="4.28515625" style="1" customWidth="1"/>
    <col min="3632" max="3632" width="11.28515625" style="1" customWidth="1"/>
    <col min="3633" max="3633" width="13.42578125" style="1" customWidth="1"/>
    <col min="3634" max="3636" width="5.42578125" style="1" customWidth="1"/>
    <col min="3637" max="3637" width="8.28515625" style="1" customWidth="1"/>
    <col min="3638" max="3640" width="4.7109375" style="1" customWidth="1"/>
    <col min="3641" max="3641" width="11.7109375" style="1" customWidth="1"/>
    <col min="3642" max="3643" width="7" style="1" customWidth="1"/>
    <col min="3644" max="3644" width="6.42578125" style="1" customWidth="1"/>
    <col min="3645" max="3645" width="15" style="1" customWidth="1"/>
    <col min="3646" max="3646" width="5.28515625" style="1" customWidth="1"/>
    <col min="3647" max="3649" width="4.7109375" style="1" customWidth="1"/>
    <col min="3650" max="3650" width="11.7109375" style="1" customWidth="1"/>
    <col min="3651" max="3651" width="10" style="1" customWidth="1"/>
    <col min="3652" max="3652" width="7.42578125" style="1" customWidth="1"/>
    <col min="3653" max="3653" width="7.140625" style="1" customWidth="1"/>
    <col min="3654" max="3654" width="6.42578125" style="1" customWidth="1"/>
    <col min="3655" max="3885" width="8.7109375" style="1"/>
    <col min="3886" max="3886" width="3.7109375" style="1" customWidth="1"/>
    <col min="3887" max="3887" width="4.28515625" style="1" customWidth="1"/>
    <col min="3888" max="3888" width="11.28515625" style="1" customWidth="1"/>
    <col min="3889" max="3889" width="13.42578125" style="1" customWidth="1"/>
    <col min="3890" max="3892" width="5.42578125" style="1" customWidth="1"/>
    <col min="3893" max="3893" width="8.28515625" style="1" customWidth="1"/>
    <col min="3894" max="3896" width="4.7109375" style="1" customWidth="1"/>
    <col min="3897" max="3897" width="11.7109375" style="1" customWidth="1"/>
    <col min="3898" max="3899" width="7" style="1" customWidth="1"/>
    <col min="3900" max="3900" width="6.42578125" style="1" customWidth="1"/>
    <col min="3901" max="3901" width="15" style="1" customWidth="1"/>
    <col min="3902" max="3902" width="5.28515625" style="1" customWidth="1"/>
    <col min="3903" max="3905" width="4.7109375" style="1" customWidth="1"/>
    <col min="3906" max="3906" width="11.7109375" style="1" customWidth="1"/>
    <col min="3907" max="3907" width="10" style="1" customWidth="1"/>
    <col min="3908" max="3908" width="7.42578125" style="1" customWidth="1"/>
    <col min="3909" max="3909" width="7.140625" style="1" customWidth="1"/>
    <col min="3910" max="3910" width="6.42578125" style="1" customWidth="1"/>
    <col min="3911" max="4141" width="8.7109375" style="1"/>
    <col min="4142" max="4142" width="3.7109375" style="1" customWidth="1"/>
    <col min="4143" max="4143" width="4.28515625" style="1" customWidth="1"/>
    <col min="4144" max="4144" width="11.28515625" style="1" customWidth="1"/>
    <col min="4145" max="4145" width="13.42578125" style="1" customWidth="1"/>
    <col min="4146" max="4148" width="5.42578125" style="1" customWidth="1"/>
    <col min="4149" max="4149" width="8.28515625" style="1" customWidth="1"/>
    <col min="4150" max="4152" width="4.7109375" style="1" customWidth="1"/>
    <col min="4153" max="4153" width="11.7109375" style="1" customWidth="1"/>
    <col min="4154" max="4155" width="7" style="1" customWidth="1"/>
    <col min="4156" max="4156" width="6.42578125" style="1" customWidth="1"/>
    <col min="4157" max="4157" width="15" style="1" customWidth="1"/>
    <col min="4158" max="4158" width="5.28515625" style="1" customWidth="1"/>
    <col min="4159" max="4161" width="4.7109375" style="1" customWidth="1"/>
    <col min="4162" max="4162" width="11.7109375" style="1" customWidth="1"/>
    <col min="4163" max="4163" width="10" style="1" customWidth="1"/>
    <col min="4164" max="4164" width="7.42578125" style="1" customWidth="1"/>
    <col min="4165" max="4165" width="7.140625" style="1" customWidth="1"/>
    <col min="4166" max="4166" width="6.42578125" style="1" customWidth="1"/>
    <col min="4167" max="4397" width="8.7109375" style="1"/>
    <col min="4398" max="4398" width="3.7109375" style="1" customWidth="1"/>
    <col min="4399" max="4399" width="4.28515625" style="1" customWidth="1"/>
    <col min="4400" max="4400" width="11.28515625" style="1" customWidth="1"/>
    <col min="4401" max="4401" width="13.42578125" style="1" customWidth="1"/>
    <col min="4402" max="4404" width="5.42578125" style="1" customWidth="1"/>
    <col min="4405" max="4405" width="8.28515625" style="1" customWidth="1"/>
    <col min="4406" max="4408" width="4.7109375" style="1" customWidth="1"/>
    <col min="4409" max="4409" width="11.7109375" style="1" customWidth="1"/>
    <col min="4410" max="4411" width="7" style="1" customWidth="1"/>
    <col min="4412" max="4412" width="6.42578125" style="1" customWidth="1"/>
    <col min="4413" max="4413" width="15" style="1" customWidth="1"/>
    <col min="4414" max="4414" width="5.28515625" style="1" customWidth="1"/>
    <col min="4415" max="4417" width="4.7109375" style="1" customWidth="1"/>
    <col min="4418" max="4418" width="11.7109375" style="1" customWidth="1"/>
    <col min="4419" max="4419" width="10" style="1" customWidth="1"/>
    <col min="4420" max="4420" width="7.42578125" style="1" customWidth="1"/>
    <col min="4421" max="4421" width="7.140625" style="1" customWidth="1"/>
    <col min="4422" max="4422" width="6.42578125" style="1" customWidth="1"/>
    <col min="4423" max="4653" width="8.7109375" style="1"/>
    <col min="4654" max="4654" width="3.7109375" style="1" customWidth="1"/>
    <col min="4655" max="4655" width="4.28515625" style="1" customWidth="1"/>
    <col min="4656" max="4656" width="11.28515625" style="1" customWidth="1"/>
    <col min="4657" max="4657" width="13.42578125" style="1" customWidth="1"/>
    <col min="4658" max="4660" width="5.42578125" style="1" customWidth="1"/>
    <col min="4661" max="4661" width="8.28515625" style="1" customWidth="1"/>
    <col min="4662" max="4664" width="4.7109375" style="1" customWidth="1"/>
    <col min="4665" max="4665" width="11.7109375" style="1" customWidth="1"/>
    <col min="4666" max="4667" width="7" style="1" customWidth="1"/>
    <col min="4668" max="4668" width="6.42578125" style="1" customWidth="1"/>
    <col min="4669" max="4669" width="15" style="1" customWidth="1"/>
    <col min="4670" max="4670" width="5.28515625" style="1" customWidth="1"/>
    <col min="4671" max="4673" width="4.7109375" style="1" customWidth="1"/>
    <col min="4674" max="4674" width="11.7109375" style="1" customWidth="1"/>
    <col min="4675" max="4675" width="10" style="1" customWidth="1"/>
    <col min="4676" max="4676" width="7.42578125" style="1" customWidth="1"/>
    <col min="4677" max="4677" width="7.140625" style="1" customWidth="1"/>
    <col min="4678" max="4678" width="6.42578125" style="1" customWidth="1"/>
    <col min="4679" max="4909" width="8.7109375" style="1"/>
    <col min="4910" max="4910" width="3.7109375" style="1" customWidth="1"/>
    <col min="4911" max="4911" width="4.28515625" style="1" customWidth="1"/>
    <col min="4912" max="4912" width="11.28515625" style="1" customWidth="1"/>
    <col min="4913" max="4913" width="13.42578125" style="1" customWidth="1"/>
    <col min="4914" max="4916" width="5.42578125" style="1" customWidth="1"/>
    <col min="4917" max="4917" width="8.28515625" style="1" customWidth="1"/>
    <col min="4918" max="4920" width="4.7109375" style="1" customWidth="1"/>
    <col min="4921" max="4921" width="11.7109375" style="1" customWidth="1"/>
    <col min="4922" max="4923" width="7" style="1" customWidth="1"/>
    <col min="4924" max="4924" width="6.42578125" style="1" customWidth="1"/>
    <col min="4925" max="4925" width="15" style="1" customWidth="1"/>
    <col min="4926" max="4926" width="5.28515625" style="1" customWidth="1"/>
    <col min="4927" max="4929" width="4.7109375" style="1" customWidth="1"/>
    <col min="4930" max="4930" width="11.7109375" style="1" customWidth="1"/>
    <col min="4931" max="4931" width="10" style="1" customWidth="1"/>
    <col min="4932" max="4932" width="7.42578125" style="1" customWidth="1"/>
    <col min="4933" max="4933" width="7.140625" style="1" customWidth="1"/>
    <col min="4934" max="4934" width="6.42578125" style="1" customWidth="1"/>
    <col min="4935" max="5165" width="8.7109375" style="1"/>
    <col min="5166" max="5166" width="3.7109375" style="1" customWidth="1"/>
    <col min="5167" max="5167" width="4.28515625" style="1" customWidth="1"/>
    <col min="5168" max="5168" width="11.28515625" style="1" customWidth="1"/>
    <col min="5169" max="5169" width="13.42578125" style="1" customWidth="1"/>
    <col min="5170" max="5172" width="5.42578125" style="1" customWidth="1"/>
    <col min="5173" max="5173" width="8.28515625" style="1" customWidth="1"/>
    <col min="5174" max="5176" width="4.7109375" style="1" customWidth="1"/>
    <col min="5177" max="5177" width="11.7109375" style="1" customWidth="1"/>
    <col min="5178" max="5179" width="7" style="1" customWidth="1"/>
    <col min="5180" max="5180" width="6.42578125" style="1" customWidth="1"/>
    <col min="5181" max="5181" width="15" style="1" customWidth="1"/>
    <col min="5182" max="5182" width="5.28515625" style="1" customWidth="1"/>
    <col min="5183" max="5185" width="4.7109375" style="1" customWidth="1"/>
    <col min="5186" max="5186" width="11.7109375" style="1" customWidth="1"/>
    <col min="5187" max="5187" width="10" style="1" customWidth="1"/>
    <col min="5188" max="5188" width="7.42578125" style="1" customWidth="1"/>
    <col min="5189" max="5189" width="7.140625" style="1" customWidth="1"/>
    <col min="5190" max="5190" width="6.42578125" style="1" customWidth="1"/>
    <col min="5191" max="5421" width="8.7109375" style="1"/>
    <col min="5422" max="5422" width="3.7109375" style="1" customWidth="1"/>
    <col min="5423" max="5423" width="4.28515625" style="1" customWidth="1"/>
    <col min="5424" max="5424" width="11.28515625" style="1" customWidth="1"/>
    <col min="5425" max="5425" width="13.42578125" style="1" customWidth="1"/>
    <col min="5426" max="5428" width="5.42578125" style="1" customWidth="1"/>
    <col min="5429" max="5429" width="8.28515625" style="1" customWidth="1"/>
    <col min="5430" max="5432" width="4.7109375" style="1" customWidth="1"/>
    <col min="5433" max="5433" width="11.7109375" style="1" customWidth="1"/>
    <col min="5434" max="5435" width="7" style="1" customWidth="1"/>
    <col min="5436" max="5436" width="6.42578125" style="1" customWidth="1"/>
    <col min="5437" max="5437" width="15" style="1" customWidth="1"/>
    <col min="5438" max="5438" width="5.28515625" style="1" customWidth="1"/>
    <col min="5439" max="5441" width="4.7109375" style="1" customWidth="1"/>
    <col min="5442" max="5442" width="11.7109375" style="1" customWidth="1"/>
    <col min="5443" max="5443" width="10" style="1" customWidth="1"/>
    <col min="5444" max="5444" width="7.42578125" style="1" customWidth="1"/>
    <col min="5445" max="5445" width="7.140625" style="1" customWidth="1"/>
    <col min="5446" max="5446" width="6.42578125" style="1" customWidth="1"/>
    <col min="5447" max="5677" width="8.7109375" style="1"/>
    <col min="5678" max="5678" width="3.7109375" style="1" customWidth="1"/>
    <col min="5679" max="5679" width="4.28515625" style="1" customWidth="1"/>
    <col min="5680" max="5680" width="11.28515625" style="1" customWidth="1"/>
    <col min="5681" max="5681" width="13.42578125" style="1" customWidth="1"/>
    <col min="5682" max="5684" width="5.42578125" style="1" customWidth="1"/>
    <col min="5685" max="5685" width="8.28515625" style="1" customWidth="1"/>
    <col min="5686" max="5688" width="4.7109375" style="1" customWidth="1"/>
    <col min="5689" max="5689" width="11.7109375" style="1" customWidth="1"/>
    <col min="5690" max="5691" width="7" style="1" customWidth="1"/>
    <col min="5692" max="5692" width="6.42578125" style="1" customWidth="1"/>
    <col min="5693" max="5693" width="15" style="1" customWidth="1"/>
    <col min="5694" max="5694" width="5.28515625" style="1" customWidth="1"/>
    <col min="5695" max="5697" width="4.7109375" style="1" customWidth="1"/>
    <col min="5698" max="5698" width="11.7109375" style="1" customWidth="1"/>
    <col min="5699" max="5699" width="10" style="1" customWidth="1"/>
    <col min="5700" max="5700" width="7.42578125" style="1" customWidth="1"/>
    <col min="5701" max="5701" width="7.140625" style="1" customWidth="1"/>
    <col min="5702" max="5702" width="6.42578125" style="1" customWidth="1"/>
    <col min="5703" max="5933" width="8.7109375" style="1"/>
    <col min="5934" max="5934" width="3.7109375" style="1" customWidth="1"/>
    <col min="5935" max="5935" width="4.28515625" style="1" customWidth="1"/>
    <col min="5936" max="5936" width="11.28515625" style="1" customWidth="1"/>
    <col min="5937" max="5937" width="13.42578125" style="1" customWidth="1"/>
    <col min="5938" max="5940" width="5.42578125" style="1" customWidth="1"/>
    <col min="5941" max="5941" width="8.28515625" style="1" customWidth="1"/>
    <col min="5942" max="5944" width="4.7109375" style="1" customWidth="1"/>
    <col min="5945" max="5945" width="11.7109375" style="1" customWidth="1"/>
    <col min="5946" max="5947" width="7" style="1" customWidth="1"/>
    <col min="5948" max="5948" width="6.42578125" style="1" customWidth="1"/>
    <col min="5949" max="5949" width="15" style="1" customWidth="1"/>
    <col min="5950" max="5950" width="5.28515625" style="1" customWidth="1"/>
    <col min="5951" max="5953" width="4.7109375" style="1" customWidth="1"/>
    <col min="5954" max="5954" width="11.7109375" style="1" customWidth="1"/>
    <col min="5955" max="5955" width="10" style="1" customWidth="1"/>
    <col min="5956" max="5956" width="7.42578125" style="1" customWidth="1"/>
    <col min="5957" max="5957" width="7.140625" style="1" customWidth="1"/>
    <col min="5958" max="5958" width="6.42578125" style="1" customWidth="1"/>
    <col min="5959" max="6189" width="8.7109375" style="1"/>
    <col min="6190" max="6190" width="3.7109375" style="1" customWidth="1"/>
    <col min="6191" max="6191" width="4.28515625" style="1" customWidth="1"/>
    <col min="6192" max="6192" width="11.28515625" style="1" customWidth="1"/>
    <col min="6193" max="6193" width="13.42578125" style="1" customWidth="1"/>
    <col min="6194" max="6196" width="5.42578125" style="1" customWidth="1"/>
    <col min="6197" max="6197" width="8.28515625" style="1" customWidth="1"/>
    <col min="6198" max="6200" width="4.7109375" style="1" customWidth="1"/>
    <col min="6201" max="6201" width="11.7109375" style="1" customWidth="1"/>
    <col min="6202" max="6203" width="7" style="1" customWidth="1"/>
    <col min="6204" max="6204" width="6.42578125" style="1" customWidth="1"/>
    <col min="6205" max="6205" width="15" style="1" customWidth="1"/>
    <col min="6206" max="6206" width="5.28515625" style="1" customWidth="1"/>
    <col min="6207" max="6209" width="4.7109375" style="1" customWidth="1"/>
    <col min="6210" max="6210" width="11.7109375" style="1" customWidth="1"/>
    <col min="6211" max="6211" width="10" style="1" customWidth="1"/>
    <col min="6212" max="6212" width="7.42578125" style="1" customWidth="1"/>
    <col min="6213" max="6213" width="7.140625" style="1" customWidth="1"/>
    <col min="6214" max="6214" width="6.42578125" style="1" customWidth="1"/>
    <col min="6215" max="6445" width="8.7109375" style="1"/>
    <col min="6446" max="6446" width="3.7109375" style="1" customWidth="1"/>
    <col min="6447" max="6447" width="4.28515625" style="1" customWidth="1"/>
    <col min="6448" max="6448" width="11.28515625" style="1" customWidth="1"/>
    <col min="6449" max="6449" width="13.42578125" style="1" customWidth="1"/>
    <col min="6450" max="6452" width="5.42578125" style="1" customWidth="1"/>
    <col min="6453" max="6453" width="8.28515625" style="1" customWidth="1"/>
    <col min="6454" max="6456" width="4.7109375" style="1" customWidth="1"/>
    <col min="6457" max="6457" width="11.7109375" style="1" customWidth="1"/>
    <col min="6458" max="6459" width="7" style="1" customWidth="1"/>
    <col min="6460" max="6460" width="6.42578125" style="1" customWidth="1"/>
    <col min="6461" max="6461" width="15" style="1" customWidth="1"/>
    <col min="6462" max="6462" width="5.28515625" style="1" customWidth="1"/>
    <col min="6463" max="6465" width="4.7109375" style="1" customWidth="1"/>
    <col min="6466" max="6466" width="11.7109375" style="1" customWidth="1"/>
    <col min="6467" max="6467" width="10" style="1" customWidth="1"/>
    <col min="6468" max="6468" width="7.42578125" style="1" customWidth="1"/>
    <col min="6469" max="6469" width="7.140625" style="1" customWidth="1"/>
    <col min="6470" max="6470" width="6.42578125" style="1" customWidth="1"/>
    <col min="6471" max="6701" width="8.7109375" style="1"/>
    <col min="6702" max="6702" width="3.7109375" style="1" customWidth="1"/>
    <col min="6703" max="6703" width="4.28515625" style="1" customWidth="1"/>
    <col min="6704" max="6704" width="11.28515625" style="1" customWidth="1"/>
    <col min="6705" max="6705" width="13.42578125" style="1" customWidth="1"/>
    <col min="6706" max="6708" width="5.42578125" style="1" customWidth="1"/>
    <col min="6709" max="6709" width="8.28515625" style="1" customWidth="1"/>
    <col min="6710" max="6712" width="4.7109375" style="1" customWidth="1"/>
    <col min="6713" max="6713" width="11.7109375" style="1" customWidth="1"/>
    <col min="6714" max="6715" width="7" style="1" customWidth="1"/>
    <col min="6716" max="6716" width="6.42578125" style="1" customWidth="1"/>
    <col min="6717" max="6717" width="15" style="1" customWidth="1"/>
    <col min="6718" max="6718" width="5.28515625" style="1" customWidth="1"/>
    <col min="6719" max="6721" width="4.7109375" style="1" customWidth="1"/>
    <col min="6722" max="6722" width="11.7109375" style="1" customWidth="1"/>
    <col min="6723" max="6723" width="10" style="1" customWidth="1"/>
    <col min="6724" max="6724" width="7.42578125" style="1" customWidth="1"/>
    <col min="6725" max="6725" width="7.140625" style="1" customWidth="1"/>
    <col min="6726" max="6726" width="6.42578125" style="1" customWidth="1"/>
    <col min="6727" max="6957" width="8.7109375" style="1"/>
    <col min="6958" max="6958" width="3.7109375" style="1" customWidth="1"/>
    <col min="6959" max="6959" width="4.28515625" style="1" customWidth="1"/>
    <col min="6960" max="6960" width="11.28515625" style="1" customWidth="1"/>
    <col min="6961" max="6961" width="13.42578125" style="1" customWidth="1"/>
    <col min="6962" max="6964" width="5.42578125" style="1" customWidth="1"/>
    <col min="6965" max="6965" width="8.28515625" style="1" customWidth="1"/>
    <col min="6966" max="6968" width="4.7109375" style="1" customWidth="1"/>
    <col min="6969" max="6969" width="11.7109375" style="1" customWidth="1"/>
    <col min="6970" max="6971" width="7" style="1" customWidth="1"/>
    <col min="6972" max="6972" width="6.42578125" style="1" customWidth="1"/>
    <col min="6973" max="6973" width="15" style="1" customWidth="1"/>
    <col min="6974" max="6974" width="5.28515625" style="1" customWidth="1"/>
    <col min="6975" max="6977" width="4.7109375" style="1" customWidth="1"/>
    <col min="6978" max="6978" width="11.7109375" style="1" customWidth="1"/>
    <col min="6979" max="6979" width="10" style="1" customWidth="1"/>
    <col min="6980" max="6980" width="7.42578125" style="1" customWidth="1"/>
    <col min="6981" max="6981" width="7.140625" style="1" customWidth="1"/>
    <col min="6982" max="6982" width="6.42578125" style="1" customWidth="1"/>
    <col min="6983" max="7213" width="8.7109375" style="1"/>
    <col min="7214" max="7214" width="3.7109375" style="1" customWidth="1"/>
    <col min="7215" max="7215" width="4.28515625" style="1" customWidth="1"/>
    <col min="7216" max="7216" width="11.28515625" style="1" customWidth="1"/>
    <col min="7217" max="7217" width="13.42578125" style="1" customWidth="1"/>
    <col min="7218" max="7220" width="5.42578125" style="1" customWidth="1"/>
    <col min="7221" max="7221" width="8.28515625" style="1" customWidth="1"/>
    <col min="7222" max="7224" width="4.7109375" style="1" customWidth="1"/>
    <col min="7225" max="7225" width="11.7109375" style="1" customWidth="1"/>
    <col min="7226" max="7227" width="7" style="1" customWidth="1"/>
    <col min="7228" max="7228" width="6.42578125" style="1" customWidth="1"/>
    <col min="7229" max="7229" width="15" style="1" customWidth="1"/>
    <col min="7230" max="7230" width="5.28515625" style="1" customWidth="1"/>
    <col min="7231" max="7233" width="4.7109375" style="1" customWidth="1"/>
    <col min="7234" max="7234" width="11.7109375" style="1" customWidth="1"/>
    <col min="7235" max="7235" width="10" style="1" customWidth="1"/>
    <col min="7236" max="7236" width="7.42578125" style="1" customWidth="1"/>
    <col min="7237" max="7237" width="7.140625" style="1" customWidth="1"/>
    <col min="7238" max="7238" width="6.42578125" style="1" customWidth="1"/>
    <col min="7239" max="7469" width="8.7109375" style="1"/>
    <col min="7470" max="7470" width="3.7109375" style="1" customWidth="1"/>
    <col min="7471" max="7471" width="4.28515625" style="1" customWidth="1"/>
    <col min="7472" max="7472" width="11.28515625" style="1" customWidth="1"/>
    <col min="7473" max="7473" width="13.42578125" style="1" customWidth="1"/>
    <col min="7474" max="7476" width="5.42578125" style="1" customWidth="1"/>
    <col min="7477" max="7477" width="8.28515625" style="1" customWidth="1"/>
    <col min="7478" max="7480" width="4.7109375" style="1" customWidth="1"/>
    <col min="7481" max="7481" width="11.7109375" style="1" customWidth="1"/>
    <col min="7482" max="7483" width="7" style="1" customWidth="1"/>
    <col min="7484" max="7484" width="6.42578125" style="1" customWidth="1"/>
    <col min="7485" max="7485" width="15" style="1" customWidth="1"/>
    <col min="7486" max="7486" width="5.28515625" style="1" customWidth="1"/>
    <col min="7487" max="7489" width="4.7109375" style="1" customWidth="1"/>
    <col min="7490" max="7490" width="11.7109375" style="1" customWidth="1"/>
    <col min="7491" max="7491" width="10" style="1" customWidth="1"/>
    <col min="7492" max="7492" width="7.42578125" style="1" customWidth="1"/>
    <col min="7493" max="7493" width="7.140625" style="1" customWidth="1"/>
    <col min="7494" max="7494" width="6.42578125" style="1" customWidth="1"/>
    <col min="7495" max="7725" width="8.7109375" style="1"/>
    <col min="7726" max="7726" width="3.7109375" style="1" customWidth="1"/>
    <col min="7727" max="7727" width="4.28515625" style="1" customWidth="1"/>
    <col min="7728" max="7728" width="11.28515625" style="1" customWidth="1"/>
    <col min="7729" max="7729" width="13.42578125" style="1" customWidth="1"/>
    <col min="7730" max="7732" width="5.42578125" style="1" customWidth="1"/>
    <col min="7733" max="7733" width="8.28515625" style="1" customWidth="1"/>
    <col min="7734" max="7736" width="4.7109375" style="1" customWidth="1"/>
    <col min="7737" max="7737" width="11.7109375" style="1" customWidth="1"/>
    <col min="7738" max="7739" width="7" style="1" customWidth="1"/>
    <col min="7740" max="7740" width="6.42578125" style="1" customWidth="1"/>
    <col min="7741" max="7741" width="15" style="1" customWidth="1"/>
    <col min="7742" max="7742" width="5.28515625" style="1" customWidth="1"/>
    <col min="7743" max="7745" width="4.7109375" style="1" customWidth="1"/>
    <col min="7746" max="7746" width="11.7109375" style="1" customWidth="1"/>
    <col min="7747" max="7747" width="10" style="1" customWidth="1"/>
    <col min="7748" max="7748" width="7.42578125" style="1" customWidth="1"/>
    <col min="7749" max="7749" width="7.140625" style="1" customWidth="1"/>
    <col min="7750" max="7750" width="6.42578125" style="1" customWidth="1"/>
    <col min="7751" max="7981" width="8.7109375" style="1"/>
    <col min="7982" max="7982" width="3.7109375" style="1" customWidth="1"/>
    <col min="7983" max="7983" width="4.28515625" style="1" customWidth="1"/>
    <col min="7984" max="7984" width="11.28515625" style="1" customWidth="1"/>
    <col min="7985" max="7985" width="13.42578125" style="1" customWidth="1"/>
    <col min="7986" max="7988" width="5.42578125" style="1" customWidth="1"/>
    <col min="7989" max="7989" width="8.28515625" style="1" customWidth="1"/>
    <col min="7990" max="7992" width="4.7109375" style="1" customWidth="1"/>
    <col min="7993" max="7993" width="11.7109375" style="1" customWidth="1"/>
    <col min="7994" max="7995" width="7" style="1" customWidth="1"/>
    <col min="7996" max="7996" width="6.42578125" style="1" customWidth="1"/>
    <col min="7997" max="7997" width="15" style="1" customWidth="1"/>
    <col min="7998" max="7998" width="5.28515625" style="1" customWidth="1"/>
    <col min="7999" max="8001" width="4.7109375" style="1" customWidth="1"/>
    <col min="8002" max="8002" width="11.7109375" style="1" customWidth="1"/>
    <col min="8003" max="8003" width="10" style="1" customWidth="1"/>
    <col min="8004" max="8004" width="7.42578125" style="1" customWidth="1"/>
    <col min="8005" max="8005" width="7.140625" style="1" customWidth="1"/>
    <col min="8006" max="8006" width="6.42578125" style="1" customWidth="1"/>
    <col min="8007" max="8237" width="8.7109375" style="1"/>
    <col min="8238" max="8238" width="3.7109375" style="1" customWidth="1"/>
    <col min="8239" max="8239" width="4.28515625" style="1" customWidth="1"/>
    <col min="8240" max="8240" width="11.28515625" style="1" customWidth="1"/>
    <col min="8241" max="8241" width="13.42578125" style="1" customWidth="1"/>
    <col min="8242" max="8244" width="5.42578125" style="1" customWidth="1"/>
    <col min="8245" max="8245" width="8.28515625" style="1" customWidth="1"/>
    <col min="8246" max="8248" width="4.7109375" style="1" customWidth="1"/>
    <col min="8249" max="8249" width="11.7109375" style="1" customWidth="1"/>
    <col min="8250" max="8251" width="7" style="1" customWidth="1"/>
    <col min="8252" max="8252" width="6.42578125" style="1" customWidth="1"/>
    <col min="8253" max="8253" width="15" style="1" customWidth="1"/>
    <col min="8254" max="8254" width="5.28515625" style="1" customWidth="1"/>
    <col min="8255" max="8257" width="4.7109375" style="1" customWidth="1"/>
    <col min="8258" max="8258" width="11.7109375" style="1" customWidth="1"/>
    <col min="8259" max="8259" width="10" style="1" customWidth="1"/>
    <col min="8260" max="8260" width="7.42578125" style="1" customWidth="1"/>
    <col min="8261" max="8261" width="7.140625" style="1" customWidth="1"/>
    <col min="8262" max="8262" width="6.42578125" style="1" customWidth="1"/>
    <col min="8263" max="8493" width="8.7109375" style="1"/>
    <col min="8494" max="8494" width="3.7109375" style="1" customWidth="1"/>
    <col min="8495" max="8495" width="4.28515625" style="1" customWidth="1"/>
    <col min="8496" max="8496" width="11.28515625" style="1" customWidth="1"/>
    <col min="8497" max="8497" width="13.42578125" style="1" customWidth="1"/>
    <col min="8498" max="8500" width="5.42578125" style="1" customWidth="1"/>
    <col min="8501" max="8501" width="8.28515625" style="1" customWidth="1"/>
    <col min="8502" max="8504" width="4.7109375" style="1" customWidth="1"/>
    <col min="8505" max="8505" width="11.7109375" style="1" customWidth="1"/>
    <col min="8506" max="8507" width="7" style="1" customWidth="1"/>
    <col min="8508" max="8508" width="6.42578125" style="1" customWidth="1"/>
    <col min="8509" max="8509" width="15" style="1" customWidth="1"/>
    <col min="8510" max="8510" width="5.28515625" style="1" customWidth="1"/>
    <col min="8511" max="8513" width="4.7109375" style="1" customWidth="1"/>
    <col min="8514" max="8514" width="11.7109375" style="1" customWidth="1"/>
    <col min="8515" max="8515" width="10" style="1" customWidth="1"/>
    <col min="8516" max="8516" width="7.42578125" style="1" customWidth="1"/>
    <col min="8517" max="8517" width="7.140625" style="1" customWidth="1"/>
    <col min="8518" max="8518" width="6.42578125" style="1" customWidth="1"/>
    <col min="8519" max="8749" width="8.7109375" style="1"/>
    <col min="8750" max="8750" width="3.7109375" style="1" customWidth="1"/>
    <col min="8751" max="8751" width="4.28515625" style="1" customWidth="1"/>
    <col min="8752" max="8752" width="11.28515625" style="1" customWidth="1"/>
    <col min="8753" max="8753" width="13.42578125" style="1" customWidth="1"/>
    <col min="8754" max="8756" width="5.42578125" style="1" customWidth="1"/>
    <col min="8757" max="8757" width="8.28515625" style="1" customWidth="1"/>
    <col min="8758" max="8760" width="4.7109375" style="1" customWidth="1"/>
    <col min="8761" max="8761" width="11.7109375" style="1" customWidth="1"/>
    <col min="8762" max="8763" width="7" style="1" customWidth="1"/>
    <col min="8764" max="8764" width="6.42578125" style="1" customWidth="1"/>
    <col min="8765" max="8765" width="15" style="1" customWidth="1"/>
    <col min="8766" max="8766" width="5.28515625" style="1" customWidth="1"/>
    <col min="8767" max="8769" width="4.7109375" style="1" customWidth="1"/>
    <col min="8770" max="8770" width="11.7109375" style="1" customWidth="1"/>
    <col min="8771" max="8771" width="10" style="1" customWidth="1"/>
    <col min="8772" max="8772" width="7.42578125" style="1" customWidth="1"/>
    <col min="8773" max="8773" width="7.140625" style="1" customWidth="1"/>
    <col min="8774" max="8774" width="6.42578125" style="1" customWidth="1"/>
    <col min="8775" max="9005" width="8.7109375" style="1"/>
    <col min="9006" max="9006" width="3.7109375" style="1" customWidth="1"/>
    <col min="9007" max="9007" width="4.28515625" style="1" customWidth="1"/>
    <col min="9008" max="9008" width="11.28515625" style="1" customWidth="1"/>
    <col min="9009" max="9009" width="13.42578125" style="1" customWidth="1"/>
    <col min="9010" max="9012" width="5.42578125" style="1" customWidth="1"/>
    <col min="9013" max="9013" width="8.28515625" style="1" customWidth="1"/>
    <col min="9014" max="9016" width="4.7109375" style="1" customWidth="1"/>
    <col min="9017" max="9017" width="11.7109375" style="1" customWidth="1"/>
    <col min="9018" max="9019" width="7" style="1" customWidth="1"/>
    <col min="9020" max="9020" width="6.42578125" style="1" customWidth="1"/>
    <col min="9021" max="9021" width="15" style="1" customWidth="1"/>
    <col min="9022" max="9022" width="5.28515625" style="1" customWidth="1"/>
    <col min="9023" max="9025" width="4.7109375" style="1" customWidth="1"/>
    <col min="9026" max="9026" width="11.7109375" style="1" customWidth="1"/>
    <col min="9027" max="9027" width="10" style="1" customWidth="1"/>
    <col min="9028" max="9028" width="7.42578125" style="1" customWidth="1"/>
    <col min="9029" max="9029" width="7.140625" style="1" customWidth="1"/>
    <col min="9030" max="9030" width="6.42578125" style="1" customWidth="1"/>
    <col min="9031" max="9261" width="8.7109375" style="1"/>
    <col min="9262" max="9262" width="3.7109375" style="1" customWidth="1"/>
    <col min="9263" max="9263" width="4.28515625" style="1" customWidth="1"/>
    <col min="9264" max="9264" width="11.28515625" style="1" customWidth="1"/>
    <col min="9265" max="9265" width="13.42578125" style="1" customWidth="1"/>
    <col min="9266" max="9268" width="5.42578125" style="1" customWidth="1"/>
    <col min="9269" max="9269" width="8.28515625" style="1" customWidth="1"/>
    <col min="9270" max="9272" width="4.7109375" style="1" customWidth="1"/>
    <col min="9273" max="9273" width="11.7109375" style="1" customWidth="1"/>
    <col min="9274" max="9275" width="7" style="1" customWidth="1"/>
    <col min="9276" max="9276" width="6.42578125" style="1" customWidth="1"/>
    <col min="9277" max="9277" width="15" style="1" customWidth="1"/>
    <col min="9278" max="9278" width="5.28515625" style="1" customWidth="1"/>
    <col min="9279" max="9281" width="4.7109375" style="1" customWidth="1"/>
    <col min="9282" max="9282" width="11.7109375" style="1" customWidth="1"/>
    <col min="9283" max="9283" width="10" style="1" customWidth="1"/>
    <col min="9284" max="9284" width="7.42578125" style="1" customWidth="1"/>
    <col min="9285" max="9285" width="7.140625" style="1" customWidth="1"/>
    <col min="9286" max="9286" width="6.42578125" style="1" customWidth="1"/>
    <col min="9287" max="9517" width="8.7109375" style="1"/>
    <col min="9518" max="9518" width="3.7109375" style="1" customWidth="1"/>
    <col min="9519" max="9519" width="4.28515625" style="1" customWidth="1"/>
    <col min="9520" max="9520" width="11.28515625" style="1" customWidth="1"/>
    <col min="9521" max="9521" width="13.42578125" style="1" customWidth="1"/>
    <col min="9522" max="9524" width="5.42578125" style="1" customWidth="1"/>
    <col min="9525" max="9525" width="8.28515625" style="1" customWidth="1"/>
    <col min="9526" max="9528" width="4.7109375" style="1" customWidth="1"/>
    <col min="9529" max="9529" width="11.7109375" style="1" customWidth="1"/>
    <col min="9530" max="9531" width="7" style="1" customWidth="1"/>
    <col min="9532" max="9532" width="6.42578125" style="1" customWidth="1"/>
    <col min="9533" max="9533" width="15" style="1" customWidth="1"/>
    <col min="9534" max="9534" width="5.28515625" style="1" customWidth="1"/>
    <col min="9535" max="9537" width="4.7109375" style="1" customWidth="1"/>
    <col min="9538" max="9538" width="11.7109375" style="1" customWidth="1"/>
    <col min="9539" max="9539" width="10" style="1" customWidth="1"/>
    <col min="9540" max="9540" width="7.42578125" style="1" customWidth="1"/>
    <col min="9541" max="9541" width="7.140625" style="1" customWidth="1"/>
    <col min="9542" max="9542" width="6.42578125" style="1" customWidth="1"/>
    <col min="9543" max="9773" width="8.7109375" style="1"/>
    <col min="9774" max="9774" width="3.7109375" style="1" customWidth="1"/>
    <col min="9775" max="9775" width="4.28515625" style="1" customWidth="1"/>
    <col min="9776" max="9776" width="11.28515625" style="1" customWidth="1"/>
    <col min="9777" max="9777" width="13.42578125" style="1" customWidth="1"/>
    <col min="9778" max="9780" width="5.42578125" style="1" customWidth="1"/>
    <col min="9781" max="9781" width="8.28515625" style="1" customWidth="1"/>
    <col min="9782" max="9784" width="4.7109375" style="1" customWidth="1"/>
    <col min="9785" max="9785" width="11.7109375" style="1" customWidth="1"/>
    <col min="9786" max="9787" width="7" style="1" customWidth="1"/>
    <col min="9788" max="9788" width="6.42578125" style="1" customWidth="1"/>
    <col min="9789" max="9789" width="15" style="1" customWidth="1"/>
    <col min="9790" max="9790" width="5.28515625" style="1" customWidth="1"/>
    <col min="9791" max="9793" width="4.7109375" style="1" customWidth="1"/>
    <col min="9794" max="9794" width="11.7109375" style="1" customWidth="1"/>
    <col min="9795" max="9795" width="10" style="1" customWidth="1"/>
    <col min="9796" max="9796" width="7.42578125" style="1" customWidth="1"/>
    <col min="9797" max="9797" width="7.140625" style="1" customWidth="1"/>
    <col min="9798" max="9798" width="6.42578125" style="1" customWidth="1"/>
    <col min="9799" max="10029" width="8.7109375" style="1"/>
    <col min="10030" max="10030" width="3.7109375" style="1" customWidth="1"/>
    <col min="10031" max="10031" width="4.28515625" style="1" customWidth="1"/>
    <col min="10032" max="10032" width="11.28515625" style="1" customWidth="1"/>
    <col min="10033" max="10033" width="13.42578125" style="1" customWidth="1"/>
    <col min="10034" max="10036" width="5.42578125" style="1" customWidth="1"/>
    <col min="10037" max="10037" width="8.28515625" style="1" customWidth="1"/>
    <col min="10038" max="10040" width="4.7109375" style="1" customWidth="1"/>
    <col min="10041" max="10041" width="11.7109375" style="1" customWidth="1"/>
    <col min="10042" max="10043" width="7" style="1" customWidth="1"/>
    <col min="10044" max="10044" width="6.42578125" style="1" customWidth="1"/>
    <col min="10045" max="10045" width="15" style="1" customWidth="1"/>
    <col min="10046" max="10046" width="5.28515625" style="1" customWidth="1"/>
    <col min="10047" max="10049" width="4.7109375" style="1" customWidth="1"/>
    <col min="10050" max="10050" width="11.7109375" style="1" customWidth="1"/>
    <col min="10051" max="10051" width="10" style="1" customWidth="1"/>
    <col min="10052" max="10052" width="7.42578125" style="1" customWidth="1"/>
    <col min="10053" max="10053" width="7.140625" style="1" customWidth="1"/>
    <col min="10054" max="10054" width="6.42578125" style="1" customWidth="1"/>
    <col min="10055" max="10285" width="8.7109375" style="1"/>
    <col min="10286" max="10286" width="3.7109375" style="1" customWidth="1"/>
    <col min="10287" max="10287" width="4.28515625" style="1" customWidth="1"/>
    <col min="10288" max="10288" width="11.28515625" style="1" customWidth="1"/>
    <col min="10289" max="10289" width="13.42578125" style="1" customWidth="1"/>
    <col min="10290" max="10292" width="5.42578125" style="1" customWidth="1"/>
    <col min="10293" max="10293" width="8.28515625" style="1" customWidth="1"/>
    <col min="10294" max="10296" width="4.7109375" style="1" customWidth="1"/>
    <col min="10297" max="10297" width="11.7109375" style="1" customWidth="1"/>
    <col min="10298" max="10299" width="7" style="1" customWidth="1"/>
    <col min="10300" max="10300" width="6.42578125" style="1" customWidth="1"/>
    <col min="10301" max="10301" width="15" style="1" customWidth="1"/>
    <col min="10302" max="10302" width="5.28515625" style="1" customWidth="1"/>
    <col min="10303" max="10305" width="4.7109375" style="1" customWidth="1"/>
    <col min="10306" max="10306" width="11.7109375" style="1" customWidth="1"/>
    <col min="10307" max="10307" width="10" style="1" customWidth="1"/>
    <col min="10308" max="10308" width="7.42578125" style="1" customWidth="1"/>
    <col min="10309" max="10309" width="7.140625" style="1" customWidth="1"/>
    <col min="10310" max="10310" width="6.42578125" style="1" customWidth="1"/>
    <col min="10311" max="10541" width="8.7109375" style="1"/>
    <col min="10542" max="10542" width="3.7109375" style="1" customWidth="1"/>
    <col min="10543" max="10543" width="4.28515625" style="1" customWidth="1"/>
    <col min="10544" max="10544" width="11.28515625" style="1" customWidth="1"/>
    <col min="10545" max="10545" width="13.42578125" style="1" customWidth="1"/>
    <col min="10546" max="10548" width="5.42578125" style="1" customWidth="1"/>
    <col min="10549" max="10549" width="8.28515625" style="1" customWidth="1"/>
    <col min="10550" max="10552" width="4.7109375" style="1" customWidth="1"/>
    <col min="10553" max="10553" width="11.7109375" style="1" customWidth="1"/>
    <col min="10554" max="10555" width="7" style="1" customWidth="1"/>
    <col min="10556" max="10556" width="6.42578125" style="1" customWidth="1"/>
    <col min="10557" max="10557" width="15" style="1" customWidth="1"/>
    <col min="10558" max="10558" width="5.28515625" style="1" customWidth="1"/>
    <col min="10559" max="10561" width="4.7109375" style="1" customWidth="1"/>
    <col min="10562" max="10562" width="11.7109375" style="1" customWidth="1"/>
    <col min="10563" max="10563" width="10" style="1" customWidth="1"/>
    <col min="10564" max="10564" width="7.42578125" style="1" customWidth="1"/>
    <col min="10565" max="10565" width="7.140625" style="1" customWidth="1"/>
    <col min="10566" max="10566" width="6.42578125" style="1" customWidth="1"/>
    <col min="10567" max="10797" width="8.7109375" style="1"/>
    <col min="10798" max="10798" width="3.7109375" style="1" customWidth="1"/>
    <col min="10799" max="10799" width="4.28515625" style="1" customWidth="1"/>
    <col min="10800" max="10800" width="11.28515625" style="1" customWidth="1"/>
    <col min="10801" max="10801" width="13.42578125" style="1" customWidth="1"/>
    <col min="10802" max="10804" width="5.42578125" style="1" customWidth="1"/>
    <col min="10805" max="10805" width="8.28515625" style="1" customWidth="1"/>
    <col min="10806" max="10808" width="4.7109375" style="1" customWidth="1"/>
    <col min="10809" max="10809" width="11.7109375" style="1" customWidth="1"/>
    <col min="10810" max="10811" width="7" style="1" customWidth="1"/>
    <col min="10812" max="10812" width="6.42578125" style="1" customWidth="1"/>
    <col min="10813" max="10813" width="15" style="1" customWidth="1"/>
    <col min="10814" max="10814" width="5.28515625" style="1" customWidth="1"/>
    <col min="10815" max="10817" width="4.7109375" style="1" customWidth="1"/>
    <col min="10818" max="10818" width="11.7109375" style="1" customWidth="1"/>
    <col min="10819" max="10819" width="10" style="1" customWidth="1"/>
    <col min="10820" max="10820" width="7.42578125" style="1" customWidth="1"/>
    <col min="10821" max="10821" width="7.140625" style="1" customWidth="1"/>
    <col min="10822" max="10822" width="6.42578125" style="1" customWidth="1"/>
    <col min="10823" max="11053" width="8.7109375" style="1"/>
    <col min="11054" max="11054" width="3.7109375" style="1" customWidth="1"/>
    <col min="11055" max="11055" width="4.28515625" style="1" customWidth="1"/>
    <col min="11056" max="11056" width="11.28515625" style="1" customWidth="1"/>
    <col min="11057" max="11057" width="13.42578125" style="1" customWidth="1"/>
    <col min="11058" max="11060" width="5.42578125" style="1" customWidth="1"/>
    <col min="11061" max="11061" width="8.28515625" style="1" customWidth="1"/>
    <col min="11062" max="11064" width="4.7109375" style="1" customWidth="1"/>
    <col min="11065" max="11065" width="11.7109375" style="1" customWidth="1"/>
    <col min="11066" max="11067" width="7" style="1" customWidth="1"/>
    <col min="11068" max="11068" width="6.42578125" style="1" customWidth="1"/>
    <col min="11069" max="11069" width="15" style="1" customWidth="1"/>
    <col min="11070" max="11070" width="5.28515625" style="1" customWidth="1"/>
    <col min="11071" max="11073" width="4.7109375" style="1" customWidth="1"/>
    <col min="11074" max="11074" width="11.7109375" style="1" customWidth="1"/>
    <col min="11075" max="11075" width="10" style="1" customWidth="1"/>
    <col min="11076" max="11076" width="7.42578125" style="1" customWidth="1"/>
    <col min="11077" max="11077" width="7.140625" style="1" customWidth="1"/>
    <col min="11078" max="11078" width="6.42578125" style="1" customWidth="1"/>
    <col min="11079" max="11309" width="8.7109375" style="1"/>
    <col min="11310" max="11310" width="3.7109375" style="1" customWidth="1"/>
    <col min="11311" max="11311" width="4.28515625" style="1" customWidth="1"/>
    <col min="11312" max="11312" width="11.28515625" style="1" customWidth="1"/>
    <col min="11313" max="11313" width="13.42578125" style="1" customWidth="1"/>
    <col min="11314" max="11316" width="5.42578125" style="1" customWidth="1"/>
    <col min="11317" max="11317" width="8.28515625" style="1" customWidth="1"/>
    <col min="11318" max="11320" width="4.7109375" style="1" customWidth="1"/>
    <col min="11321" max="11321" width="11.7109375" style="1" customWidth="1"/>
    <col min="11322" max="11323" width="7" style="1" customWidth="1"/>
    <col min="11324" max="11324" width="6.42578125" style="1" customWidth="1"/>
    <col min="11325" max="11325" width="15" style="1" customWidth="1"/>
    <col min="11326" max="11326" width="5.28515625" style="1" customWidth="1"/>
    <col min="11327" max="11329" width="4.7109375" style="1" customWidth="1"/>
    <col min="11330" max="11330" width="11.7109375" style="1" customWidth="1"/>
    <col min="11331" max="11331" width="10" style="1" customWidth="1"/>
    <col min="11332" max="11332" width="7.42578125" style="1" customWidth="1"/>
    <col min="11333" max="11333" width="7.140625" style="1" customWidth="1"/>
    <col min="11334" max="11334" width="6.42578125" style="1" customWidth="1"/>
    <col min="11335" max="11565" width="8.7109375" style="1"/>
    <col min="11566" max="11566" width="3.7109375" style="1" customWidth="1"/>
    <col min="11567" max="11567" width="4.28515625" style="1" customWidth="1"/>
    <col min="11568" max="11568" width="11.28515625" style="1" customWidth="1"/>
    <col min="11569" max="11569" width="13.42578125" style="1" customWidth="1"/>
    <col min="11570" max="11572" width="5.42578125" style="1" customWidth="1"/>
    <col min="11573" max="11573" width="8.28515625" style="1" customWidth="1"/>
    <col min="11574" max="11576" width="4.7109375" style="1" customWidth="1"/>
    <col min="11577" max="11577" width="11.7109375" style="1" customWidth="1"/>
    <col min="11578" max="11579" width="7" style="1" customWidth="1"/>
    <col min="11580" max="11580" width="6.42578125" style="1" customWidth="1"/>
    <col min="11581" max="11581" width="15" style="1" customWidth="1"/>
    <col min="11582" max="11582" width="5.28515625" style="1" customWidth="1"/>
    <col min="11583" max="11585" width="4.7109375" style="1" customWidth="1"/>
    <col min="11586" max="11586" width="11.7109375" style="1" customWidth="1"/>
    <col min="11587" max="11587" width="10" style="1" customWidth="1"/>
    <col min="11588" max="11588" width="7.42578125" style="1" customWidth="1"/>
    <col min="11589" max="11589" width="7.140625" style="1" customWidth="1"/>
    <col min="11590" max="11590" width="6.42578125" style="1" customWidth="1"/>
    <col min="11591" max="11821" width="8.7109375" style="1"/>
    <col min="11822" max="11822" width="3.7109375" style="1" customWidth="1"/>
    <col min="11823" max="11823" width="4.28515625" style="1" customWidth="1"/>
    <col min="11824" max="11824" width="11.28515625" style="1" customWidth="1"/>
    <col min="11825" max="11825" width="13.42578125" style="1" customWidth="1"/>
    <col min="11826" max="11828" width="5.42578125" style="1" customWidth="1"/>
    <col min="11829" max="11829" width="8.28515625" style="1" customWidth="1"/>
    <col min="11830" max="11832" width="4.7109375" style="1" customWidth="1"/>
    <col min="11833" max="11833" width="11.7109375" style="1" customWidth="1"/>
    <col min="11834" max="11835" width="7" style="1" customWidth="1"/>
    <col min="11836" max="11836" width="6.42578125" style="1" customWidth="1"/>
    <col min="11837" max="11837" width="15" style="1" customWidth="1"/>
    <col min="11838" max="11838" width="5.28515625" style="1" customWidth="1"/>
    <col min="11839" max="11841" width="4.7109375" style="1" customWidth="1"/>
    <col min="11842" max="11842" width="11.7109375" style="1" customWidth="1"/>
    <col min="11843" max="11843" width="10" style="1" customWidth="1"/>
    <col min="11844" max="11844" width="7.42578125" style="1" customWidth="1"/>
    <col min="11845" max="11845" width="7.140625" style="1" customWidth="1"/>
    <col min="11846" max="11846" width="6.42578125" style="1" customWidth="1"/>
    <col min="11847" max="12077" width="8.7109375" style="1"/>
    <col min="12078" max="12078" width="3.7109375" style="1" customWidth="1"/>
    <col min="12079" max="12079" width="4.28515625" style="1" customWidth="1"/>
    <col min="12080" max="12080" width="11.28515625" style="1" customWidth="1"/>
    <col min="12081" max="12081" width="13.42578125" style="1" customWidth="1"/>
    <col min="12082" max="12084" width="5.42578125" style="1" customWidth="1"/>
    <col min="12085" max="12085" width="8.28515625" style="1" customWidth="1"/>
    <col min="12086" max="12088" width="4.7109375" style="1" customWidth="1"/>
    <col min="12089" max="12089" width="11.7109375" style="1" customWidth="1"/>
    <col min="12090" max="12091" width="7" style="1" customWidth="1"/>
    <col min="12092" max="12092" width="6.42578125" style="1" customWidth="1"/>
    <col min="12093" max="12093" width="15" style="1" customWidth="1"/>
    <col min="12094" max="12094" width="5.28515625" style="1" customWidth="1"/>
    <col min="12095" max="12097" width="4.7109375" style="1" customWidth="1"/>
    <col min="12098" max="12098" width="11.7109375" style="1" customWidth="1"/>
    <col min="12099" max="12099" width="10" style="1" customWidth="1"/>
    <col min="12100" max="12100" width="7.42578125" style="1" customWidth="1"/>
    <col min="12101" max="12101" width="7.140625" style="1" customWidth="1"/>
    <col min="12102" max="12102" width="6.42578125" style="1" customWidth="1"/>
    <col min="12103" max="12333" width="8.7109375" style="1"/>
    <col min="12334" max="12334" width="3.7109375" style="1" customWidth="1"/>
    <col min="12335" max="12335" width="4.28515625" style="1" customWidth="1"/>
    <col min="12336" max="12336" width="11.28515625" style="1" customWidth="1"/>
    <col min="12337" max="12337" width="13.42578125" style="1" customWidth="1"/>
    <col min="12338" max="12340" width="5.42578125" style="1" customWidth="1"/>
    <col min="12341" max="12341" width="8.28515625" style="1" customWidth="1"/>
    <col min="12342" max="12344" width="4.7109375" style="1" customWidth="1"/>
    <col min="12345" max="12345" width="11.7109375" style="1" customWidth="1"/>
    <col min="12346" max="12347" width="7" style="1" customWidth="1"/>
    <col min="12348" max="12348" width="6.42578125" style="1" customWidth="1"/>
    <col min="12349" max="12349" width="15" style="1" customWidth="1"/>
    <col min="12350" max="12350" width="5.28515625" style="1" customWidth="1"/>
    <col min="12351" max="12353" width="4.7109375" style="1" customWidth="1"/>
    <col min="12354" max="12354" width="11.7109375" style="1" customWidth="1"/>
    <col min="12355" max="12355" width="10" style="1" customWidth="1"/>
    <col min="12356" max="12356" width="7.42578125" style="1" customWidth="1"/>
    <col min="12357" max="12357" width="7.140625" style="1" customWidth="1"/>
    <col min="12358" max="12358" width="6.42578125" style="1" customWidth="1"/>
    <col min="12359" max="12589" width="8.7109375" style="1"/>
    <col min="12590" max="12590" width="3.7109375" style="1" customWidth="1"/>
    <col min="12591" max="12591" width="4.28515625" style="1" customWidth="1"/>
    <col min="12592" max="12592" width="11.28515625" style="1" customWidth="1"/>
    <col min="12593" max="12593" width="13.42578125" style="1" customWidth="1"/>
    <col min="12594" max="12596" width="5.42578125" style="1" customWidth="1"/>
    <col min="12597" max="12597" width="8.28515625" style="1" customWidth="1"/>
    <col min="12598" max="12600" width="4.7109375" style="1" customWidth="1"/>
    <col min="12601" max="12601" width="11.7109375" style="1" customWidth="1"/>
    <col min="12602" max="12603" width="7" style="1" customWidth="1"/>
    <col min="12604" max="12604" width="6.42578125" style="1" customWidth="1"/>
    <col min="12605" max="12605" width="15" style="1" customWidth="1"/>
    <col min="12606" max="12606" width="5.28515625" style="1" customWidth="1"/>
    <col min="12607" max="12609" width="4.7109375" style="1" customWidth="1"/>
    <col min="12610" max="12610" width="11.7109375" style="1" customWidth="1"/>
    <col min="12611" max="12611" width="10" style="1" customWidth="1"/>
    <col min="12612" max="12612" width="7.42578125" style="1" customWidth="1"/>
    <col min="12613" max="12613" width="7.140625" style="1" customWidth="1"/>
    <col min="12614" max="12614" width="6.42578125" style="1" customWidth="1"/>
    <col min="12615" max="12845" width="8.7109375" style="1"/>
    <col min="12846" max="12846" width="3.7109375" style="1" customWidth="1"/>
    <col min="12847" max="12847" width="4.28515625" style="1" customWidth="1"/>
    <col min="12848" max="12848" width="11.28515625" style="1" customWidth="1"/>
    <col min="12849" max="12849" width="13.42578125" style="1" customWidth="1"/>
    <col min="12850" max="12852" width="5.42578125" style="1" customWidth="1"/>
    <col min="12853" max="12853" width="8.28515625" style="1" customWidth="1"/>
    <col min="12854" max="12856" width="4.7109375" style="1" customWidth="1"/>
    <col min="12857" max="12857" width="11.7109375" style="1" customWidth="1"/>
    <col min="12858" max="12859" width="7" style="1" customWidth="1"/>
    <col min="12860" max="12860" width="6.42578125" style="1" customWidth="1"/>
    <col min="12861" max="12861" width="15" style="1" customWidth="1"/>
    <col min="12862" max="12862" width="5.28515625" style="1" customWidth="1"/>
    <col min="12863" max="12865" width="4.7109375" style="1" customWidth="1"/>
    <col min="12866" max="12866" width="11.7109375" style="1" customWidth="1"/>
    <col min="12867" max="12867" width="10" style="1" customWidth="1"/>
    <col min="12868" max="12868" width="7.42578125" style="1" customWidth="1"/>
    <col min="12869" max="12869" width="7.140625" style="1" customWidth="1"/>
    <col min="12870" max="12870" width="6.42578125" style="1" customWidth="1"/>
    <col min="12871" max="13101" width="8.7109375" style="1"/>
    <col min="13102" max="13102" width="3.7109375" style="1" customWidth="1"/>
    <col min="13103" max="13103" width="4.28515625" style="1" customWidth="1"/>
    <col min="13104" max="13104" width="11.28515625" style="1" customWidth="1"/>
    <col min="13105" max="13105" width="13.42578125" style="1" customWidth="1"/>
    <col min="13106" max="13108" width="5.42578125" style="1" customWidth="1"/>
    <col min="13109" max="13109" width="8.28515625" style="1" customWidth="1"/>
    <col min="13110" max="13112" width="4.7109375" style="1" customWidth="1"/>
    <col min="13113" max="13113" width="11.7109375" style="1" customWidth="1"/>
    <col min="13114" max="13115" width="7" style="1" customWidth="1"/>
    <col min="13116" max="13116" width="6.42578125" style="1" customWidth="1"/>
    <col min="13117" max="13117" width="15" style="1" customWidth="1"/>
    <col min="13118" max="13118" width="5.28515625" style="1" customWidth="1"/>
    <col min="13119" max="13121" width="4.7109375" style="1" customWidth="1"/>
    <col min="13122" max="13122" width="11.7109375" style="1" customWidth="1"/>
    <col min="13123" max="13123" width="10" style="1" customWidth="1"/>
    <col min="13124" max="13124" width="7.42578125" style="1" customWidth="1"/>
    <col min="13125" max="13125" width="7.140625" style="1" customWidth="1"/>
    <col min="13126" max="13126" width="6.42578125" style="1" customWidth="1"/>
    <col min="13127" max="13357" width="8.7109375" style="1"/>
    <col min="13358" max="13358" width="3.7109375" style="1" customWidth="1"/>
    <col min="13359" max="13359" width="4.28515625" style="1" customWidth="1"/>
    <col min="13360" max="13360" width="11.28515625" style="1" customWidth="1"/>
    <col min="13361" max="13361" width="13.42578125" style="1" customWidth="1"/>
    <col min="13362" max="13364" width="5.42578125" style="1" customWidth="1"/>
    <col min="13365" max="13365" width="8.28515625" style="1" customWidth="1"/>
    <col min="13366" max="13368" width="4.7109375" style="1" customWidth="1"/>
    <col min="13369" max="13369" width="11.7109375" style="1" customWidth="1"/>
    <col min="13370" max="13371" width="7" style="1" customWidth="1"/>
    <col min="13372" max="13372" width="6.42578125" style="1" customWidth="1"/>
    <col min="13373" max="13373" width="15" style="1" customWidth="1"/>
    <col min="13374" max="13374" width="5.28515625" style="1" customWidth="1"/>
    <col min="13375" max="13377" width="4.7109375" style="1" customWidth="1"/>
    <col min="13378" max="13378" width="11.7109375" style="1" customWidth="1"/>
    <col min="13379" max="13379" width="10" style="1" customWidth="1"/>
    <col min="13380" max="13380" width="7.42578125" style="1" customWidth="1"/>
    <col min="13381" max="13381" width="7.140625" style="1" customWidth="1"/>
    <col min="13382" max="13382" width="6.42578125" style="1" customWidth="1"/>
    <col min="13383" max="13613" width="8.7109375" style="1"/>
    <col min="13614" max="13614" width="3.7109375" style="1" customWidth="1"/>
    <col min="13615" max="13615" width="4.28515625" style="1" customWidth="1"/>
    <col min="13616" max="13616" width="11.28515625" style="1" customWidth="1"/>
    <col min="13617" max="13617" width="13.42578125" style="1" customWidth="1"/>
    <col min="13618" max="13620" width="5.42578125" style="1" customWidth="1"/>
    <col min="13621" max="13621" width="8.28515625" style="1" customWidth="1"/>
    <col min="13622" max="13624" width="4.7109375" style="1" customWidth="1"/>
    <col min="13625" max="13625" width="11.7109375" style="1" customWidth="1"/>
    <col min="13626" max="13627" width="7" style="1" customWidth="1"/>
    <col min="13628" max="13628" width="6.42578125" style="1" customWidth="1"/>
    <col min="13629" max="13629" width="15" style="1" customWidth="1"/>
    <col min="13630" max="13630" width="5.28515625" style="1" customWidth="1"/>
    <col min="13631" max="13633" width="4.7109375" style="1" customWidth="1"/>
    <col min="13634" max="13634" width="11.7109375" style="1" customWidth="1"/>
    <col min="13635" max="13635" width="10" style="1" customWidth="1"/>
    <col min="13636" max="13636" width="7.42578125" style="1" customWidth="1"/>
    <col min="13637" max="13637" width="7.140625" style="1" customWidth="1"/>
    <col min="13638" max="13638" width="6.42578125" style="1" customWidth="1"/>
    <col min="13639" max="13869" width="8.7109375" style="1"/>
    <col min="13870" max="13870" width="3.7109375" style="1" customWidth="1"/>
    <col min="13871" max="13871" width="4.28515625" style="1" customWidth="1"/>
    <col min="13872" max="13872" width="11.28515625" style="1" customWidth="1"/>
    <col min="13873" max="13873" width="13.42578125" style="1" customWidth="1"/>
    <col min="13874" max="13876" width="5.42578125" style="1" customWidth="1"/>
    <col min="13877" max="13877" width="8.28515625" style="1" customWidth="1"/>
    <col min="13878" max="13880" width="4.7109375" style="1" customWidth="1"/>
    <col min="13881" max="13881" width="11.7109375" style="1" customWidth="1"/>
    <col min="13882" max="13883" width="7" style="1" customWidth="1"/>
    <col min="13884" max="13884" width="6.42578125" style="1" customWidth="1"/>
    <col min="13885" max="13885" width="15" style="1" customWidth="1"/>
    <col min="13886" max="13886" width="5.28515625" style="1" customWidth="1"/>
    <col min="13887" max="13889" width="4.7109375" style="1" customWidth="1"/>
    <col min="13890" max="13890" width="11.7109375" style="1" customWidth="1"/>
    <col min="13891" max="13891" width="10" style="1" customWidth="1"/>
    <col min="13892" max="13892" width="7.42578125" style="1" customWidth="1"/>
    <col min="13893" max="13893" width="7.140625" style="1" customWidth="1"/>
    <col min="13894" max="13894" width="6.42578125" style="1" customWidth="1"/>
    <col min="13895" max="14125" width="8.7109375" style="1"/>
    <col min="14126" max="14126" width="3.7109375" style="1" customWidth="1"/>
    <col min="14127" max="14127" width="4.28515625" style="1" customWidth="1"/>
    <col min="14128" max="14128" width="11.28515625" style="1" customWidth="1"/>
    <col min="14129" max="14129" width="13.42578125" style="1" customWidth="1"/>
    <col min="14130" max="14132" width="5.42578125" style="1" customWidth="1"/>
    <col min="14133" max="14133" width="8.28515625" style="1" customWidth="1"/>
    <col min="14134" max="14136" width="4.7109375" style="1" customWidth="1"/>
    <col min="14137" max="14137" width="11.7109375" style="1" customWidth="1"/>
    <col min="14138" max="14139" width="7" style="1" customWidth="1"/>
    <col min="14140" max="14140" width="6.42578125" style="1" customWidth="1"/>
    <col min="14141" max="14141" width="15" style="1" customWidth="1"/>
    <col min="14142" max="14142" width="5.28515625" style="1" customWidth="1"/>
    <col min="14143" max="14145" width="4.7109375" style="1" customWidth="1"/>
    <col min="14146" max="14146" width="11.7109375" style="1" customWidth="1"/>
    <col min="14147" max="14147" width="10" style="1" customWidth="1"/>
    <col min="14148" max="14148" width="7.42578125" style="1" customWidth="1"/>
    <col min="14149" max="14149" width="7.140625" style="1" customWidth="1"/>
    <col min="14150" max="14150" width="6.42578125" style="1" customWidth="1"/>
    <col min="14151" max="14381" width="8.7109375" style="1"/>
    <col min="14382" max="14382" width="3.7109375" style="1" customWidth="1"/>
    <col min="14383" max="14383" width="4.28515625" style="1" customWidth="1"/>
    <col min="14384" max="14384" width="11.28515625" style="1" customWidth="1"/>
    <col min="14385" max="14385" width="13.42578125" style="1" customWidth="1"/>
    <col min="14386" max="14388" width="5.42578125" style="1" customWidth="1"/>
    <col min="14389" max="14389" width="8.28515625" style="1" customWidth="1"/>
    <col min="14390" max="14392" width="4.7109375" style="1" customWidth="1"/>
    <col min="14393" max="14393" width="11.7109375" style="1" customWidth="1"/>
    <col min="14394" max="14395" width="7" style="1" customWidth="1"/>
    <col min="14396" max="14396" width="6.42578125" style="1" customWidth="1"/>
    <col min="14397" max="14397" width="15" style="1" customWidth="1"/>
    <col min="14398" max="14398" width="5.28515625" style="1" customWidth="1"/>
    <col min="14399" max="14401" width="4.7109375" style="1" customWidth="1"/>
    <col min="14402" max="14402" width="11.7109375" style="1" customWidth="1"/>
    <col min="14403" max="14403" width="10" style="1" customWidth="1"/>
    <col min="14404" max="14404" width="7.42578125" style="1" customWidth="1"/>
    <col min="14405" max="14405" width="7.140625" style="1" customWidth="1"/>
    <col min="14406" max="14406" width="6.42578125" style="1" customWidth="1"/>
    <col min="14407" max="14637" width="8.7109375" style="1"/>
    <col min="14638" max="14638" width="3.7109375" style="1" customWidth="1"/>
    <col min="14639" max="14639" width="4.28515625" style="1" customWidth="1"/>
    <col min="14640" max="14640" width="11.28515625" style="1" customWidth="1"/>
    <col min="14641" max="14641" width="13.42578125" style="1" customWidth="1"/>
    <col min="14642" max="14644" width="5.42578125" style="1" customWidth="1"/>
    <col min="14645" max="14645" width="8.28515625" style="1" customWidth="1"/>
    <col min="14646" max="14648" width="4.7109375" style="1" customWidth="1"/>
    <col min="14649" max="14649" width="11.7109375" style="1" customWidth="1"/>
    <col min="14650" max="14651" width="7" style="1" customWidth="1"/>
    <col min="14652" max="14652" width="6.42578125" style="1" customWidth="1"/>
    <col min="14653" max="14653" width="15" style="1" customWidth="1"/>
    <col min="14654" max="14654" width="5.28515625" style="1" customWidth="1"/>
    <col min="14655" max="14657" width="4.7109375" style="1" customWidth="1"/>
    <col min="14658" max="14658" width="11.7109375" style="1" customWidth="1"/>
    <col min="14659" max="14659" width="10" style="1" customWidth="1"/>
    <col min="14660" max="14660" width="7.42578125" style="1" customWidth="1"/>
    <col min="14661" max="14661" width="7.140625" style="1" customWidth="1"/>
    <col min="14662" max="14662" width="6.42578125" style="1" customWidth="1"/>
    <col min="14663" max="14893" width="8.7109375" style="1"/>
    <col min="14894" max="14894" width="3.7109375" style="1" customWidth="1"/>
    <col min="14895" max="14895" width="4.28515625" style="1" customWidth="1"/>
    <col min="14896" max="14896" width="11.28515625" style="1" customWidth="1"/>
    <col min="14897" max="14897" width="13.42578125" style="1" customWidth="1"/>
    <col min="14898" max="14900" width="5.42578125" style="1" customWidth="1"/>
    <col min="14901" max="14901" width="8.28515625" style="1" customWidth="1"/>
    <col min="14902" max="14904" width="4.7109375" style="1" customWidth="1"/>
    <col min="14905" max="14905" width="11.7109375" style="1" customWidth="1"/>
    <col min="14906" max="14907" width="7" style="1" customWidth="1"/>
    <col min="14908" max="14908" width="6.42578125" style="1" customWidth="1"/>
    <col min="14909" max="14909" width="15" style="1" customWidth="1"/>
    <col min="14910" max="14910" width="5.28515625" style="1" customWidth="1"/>
    <col min="14911" max="14913" width="4.7109375" style="1" customWidth="1"/>
    <col min="14914" max="14914" width="11.7109375" style="1" customWidth="1"/>
    <col min="14915" max="14915" width="10" style="1" customWidth="1"/>
    <col min="14916" max="14916" width="7.42578125" style="1" customWidth="1"/>
    <col min="14917" max="14917" width="7.140625" style="1" customWidth="1"/>
    <col min="14918" max="14918" width="6.42578125" style="1" customWidth="1"/>
    <col min="14919" max="15149" width="8.7109375" style="1"/>
    <col min="15150" max="15150" width="3.7109375" style="1" customWidth="1"/>
    <col min="15151" max="15151" width="4.28515625" style="1" customWidth="1"/>
    <col min="15152" max="15152" width="11.28515625" style="1" customWidth="1"/>
    <col min="15153" max="15153" width="13.42578125" style="1" customWidth="1"/>
    <col min="15154" max="15156" width="5.42578125" style="1" customWidth="1"/>
    <col min="15157" max="15157" width="8.28515625" style="1" customWidth="1"/>
    <col min="15158" max="15160" width="4.7109375" style="1" customWidth="1"/>
    <col min="15161" max="15161" width="11.7109375" style="1" customWidth="1"/>
    <col min="15162" max="15163" width="7" style="1" customWidth="1"/>
    <col min="15164" max="15164" width="6.42578125" style="1" customWidth="1"/>
    <col min="15165" max="15165" width="15" style="1" customWidth="1"/>
    <col min="15166" max="15166" width="5.28515625" style="1" customWidth="1"/>
    <col min="15167" max="15169" width="4.7109375" style="1" customWidth="1"/>
    <col min="15170" max="15170" width="11.7109375" style="1" customWidth="1"/>
    <col min="15171" max="15171" width="10" style="1" customWidth="1"/>
    <col min="15172" max="15172" width="7.42578125" style="1" customWidth="1"/>
    <col min="15173" max="15173" width="7.140625" style="1" customWidth="1"/>
    <col min="15174" max="15174" width="6.42578125" style="1" customWidth="1"/>
    <col min="15175" max="15405" width="8.7109375" style="1"/>
    <col min="15406" max="15406" width="3.7109375" style="1" customWidth="1"/>
    <col min="15407" max="15407" width="4.28515625" style="1" customWidth="1"/>
    <col min="15408" max="15408" width="11.28515625" style="1" customWidth="1"/>
    <col min="15409" max="15409" width="13.42578125" style="1" customWidth="1"/>
    <col min="15410" max="15412" width="5.42578125" style="1" customWidth="1"/>
    <col min="15413" max="15413" width="8.28515625" style="1" customWidth="1"/>
    <col min="15414" max="15416" width="4.7109375" style="1" customWidth="1"/>
    <col min="15417" max="15417" width="11.7109375" style="1" customWidth="1"/>
    <col min="15418" max="15419" width="7" style="1" customWidth="1"/>
    <col min="15420" max="15420" width="6.42578125" style="1" customWidth="1"/>
    <col min="15421" max="15421" width="15" style="1" customWidth="1"/>
    <col min="15422" max="15422" width="5.28515625" style="1" customWidth="1"/>
    <col min="15423" max="15425" width="4.7109375" style="1" customWidth="1"/>
    <col min="15426" max="15426" width="11.7109375" style="1" customWidth="1"/>
    <col min="15427" max="15427" width="10" style="1" customWidth="1"/>
    <col min="15428" max="15428" width="7.42578125" style="1" customWidth="1"/>
    <col min="15429" max="15429" width="7.140625" style="1" customWidth="1"/>
    <col min="15430" max="15430" width="6.42578125" style="1" customWidth="1"/>
    <col min="15431" max="15661" width="8.7109375" style="1"/>
    <col min="15662" max="15662" width="3.7109375" style="1" customWidth="1"/>
    <col min="15663" max="15663" width="4.28515625" style="1" customWidth="1"/>
    <col min="15664" max="15664" width="11.28515625" style="1" customWidth="1"/>
    <col min="15665" max="15665" width="13.42578125" style="1" customWidth="1"/>
    <col min="15666" max="15668" width="5.42578125" style="1" customWidth="1"/>
    <col min="15669" max="15669" width="8.28515625" style="1" customWidth="1"/>
    <col min="15670" max="15672" width="4.7109375" style="1" customWidth="1"/>
    <col min="15673" max="15673" width="11.7109375" style="1" customWidth="1"/>
    <col min="15674" max="15675" width="7" style="1" customWidth="1"/>
    <col min="15676" max="15676" width="6.42578125" style="1" customWidth="1"/>
    <col min="15677" max="15677" width="15" style="1" customWidth="1"/>
    <col min="15678" max="15678" width="5.28515625" style="1" customWidth="1"/>
    <col min="15679" max="15681" width="4.7109375" style="1" customWidth="1"/>
    <col min="15682" max="15682" width="11.7109375" style="1" customWidth="1"/>
    <col min="15683" max="15683" width="10" style="1" customWidth="1"/>
    <col min="15684" max="15684" width="7.42578125" style="1" customWidth="1"/>
    <col min="15685" max="15685" width="7.140625" style="1" customWidth="1"/>
    <col min="15686" max="15686" width="6.42578125" style="1" customWidth="1"/>
    <col min="15687" max="15917" width="8.7109375" style="1"/>
    <col min="15918" max="15918" width="3.7109375" style="1" customWidth="1"/>
    <col min="15919" max="15919" width="4.28515625" style="1" customWidth="1"/>
    <col min="15920" max="15920" width="11.28515625" style="1" customWidth="1"/>
    <col min="15921" max="15921" width="13.42578125" style="1" customWidth="1"/>
    <col min="15922" max="15924" width="5.42578125" style="1" customWidth="1"/>
    <col min="15925" max="15925" width="8.28515625" style="1" customWidth="1"/>
    <col min="15926" max="15928" width="4.7109375" style="1" customWidth="1"/>
    <col min="15929" max="15929" width="11.7109375" style="1" customWidth="1"/>
    <col min="15930" max="15931" width="7" style="1" customWidth="1"/>
    <col min="15932" max="15932" width="6.42578125" style="1" customWidth="1"/>
    <col min="15933" max="15933" width="15" style="1" customWidth="1"/>
    <col min="15934" max="15934" width="5.28515625" style="1" customWidth="1"/>
    <col min="15935" max="15937" width="4.7109375" style="1" customWidth="1"/>
    <col min="15938" max="15938" width="11.7109375" style="1" customWidth="1"/>
    <col min="15939" max="15939" width="10" style="1" customWidth="1"/>
    <col min="15940" max="15940" width="7.42578125" style="1" customWidth="1"/>
    <col min="15941" max="15941" width="7.140625" style="1" customWidth="1"/>
    <col min="15942" max="15942" width="6.42578125" style="1" customWidth="1"/>
    <col min="15943" max="16173" width="8.7109375" style="1"/>
    <col min="16174" max="16174" width="3.7109375" style="1" customWidth="1"/>
    <col min="16175" max="16175" width="4.28515625" style="1" customWidth="1"/>
    <col min="16176" max="16176" width="11.28515625" style="1" customWidth="1"/>
    <col min="16177" max="16177" width="13.42578125" style="1" customWidth="1"/>
    <col min="16178" max="16180" width="5.42578125" style="1" customWidth="1"/>
    <col min="16181" max="16181" width="8.28515625" style="1" customWidth="1"/>
    <col min="16182" max="16184" width="4.7109375" style="1" customWidth="1"/>
    <col min="16185" max="16185" width="11.7109375" style="1" customWidth="1"/>
    <col min="16186" max="16187" width="7" style="1" customWidth="1"/>
    <col min="16188" max="16188" width="6.42578125" style="1" customWidth="1"/>
    <col min="16189" max="16189" width="15" style="1" customWidth="1"/>
    <col min="16190" max="16190" width="5.28515625" style="1" customWidth="1"/>
    <col min="16191" max="16193" width="4.7109375" style="1" customWidth="1"/>
    <col min="16194" max="16194" width="11.7109375" style="1" customWidth="1"/>
    <col min="16195" max="16195" width="10" style="1" customWidth="1"/>
    <col min="16196" max="16196" width="7.42578125" style="1" customWidth="1"/>
    <col min="16197" max="16197" width="7.140625" style="1" customWidth="1"/>
    <col min="16198" max="16198" width="6.42578125" style="1" customWidth="1"/>
    <col min="16199" max="16384" width="8.7109375" style="1"/>
  </cols>
  <sheetData>
    <row r="1" spans="2:72" x14ac:dyDescent="0.25">
      <c r="B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2" t="s">
        <v>1</v>
      </c>
    </row>
    <row r="2" spans="2:72" ht="15" customHeight="1" x14ac:dyDescent="0.25">
      <c r="B2" s="1" t="s">
        <v>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 t="s">
        <v>2</v>
      </c>
    </row>
    <row r="3" spans="2:72" ht="15" customHeight="1" x14ac:dyDescent="0.25">
      <c r="B3" s="1" t="s">
        <v>95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4" t="s">
        <v>3</v>
      </c>
    </row>
    <row r="4" spans="2:72" ht="25.5" x14ac:dyDescent="0.35">
      <c r="B4" s="58" t="s">
        <v>4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</row>
    <row r="5" spans="2:72" ht="17.25" customHeight="1" x14ac:dyDescent="0.25">
      <c r="B5" s="44" t="s">
        <v>269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</row>
    <row r="6" spans="2:72" ht="17.25" customHeight="1" x14ac:dyDescent="0.25">
      <c r="B6" s="6" t="s">
        <v>43</v>
      </c>
      <c r="C6" s="6"/>
      <c r="D6" s="6"/>
      <c r="E6" s="6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</row>
    <row r="7" spans="2:72" ht="18" customHeight="1" x14ac:dyDescent="0.25">
      <c r="B7" s="7" t="s">
        <v>5</v>
      </c>
      <c r="C7" s="7"/>
      <c r="D7" s="7"/>
      <c r="E7" s="7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</row>
    <row r="8" spans="2:72" ht="12.75" customHeight="1" x14ac:dyDescent="0.25">
      <c r="B8" s="7"/>
      <c r="C8" s="7"/>
      <c r="D8" s="7"/>
      <c r="E8" s="7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</row>
    <row r="9" spans="2:72" ht="39.7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3"/>
      <c r="AM9" s="64" t="s">
        <v>12</v>
      </c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6"/>
      <c r="BS9" s="9" t="s">
        <v>13</v>
      </c>
      <c r="BT9" s="46" t="s">
        <v>14</v>
      </c>
    </row>
    <row r="10" spans="2:72" s="11" customFormat="1" ht="23.25" customHeight="1" x14ac:dyDescent="0.25">
      <c r="B10" s="60"/>
      <c r="C10" s="60"/>
      <c r="D10" s="60"/>
      <c r="E10" s="60"/>
      <c r="F10" s="49" t="s">
        <v>15</v>
      </c>
      <c r="G10" s="68" t="s">
        <v>15</v>
      </c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  <c r="AM10" s="51" t="s">
        <v>15</v>
      </c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3"/>
      <c r="BS10" s="49" t="s">
        <v>16</v>
      </c>
      <c r="BT10" s="47"/>
    </row>
    <row r="11" spans="2:72" s="12" customFormat="1" ht="73.150000000000006" customHeight="1" x14ac:dyDescent="0.25">
      <c r="B11" s="60"/>
      <c r="C11" s="60"/>
      <c r="D11" s="60"/>
      <c r="E11" s="60"/>
      <c r="F11" s="50"/>
      <c r="G11" s="10" t="s">
        <v>272</v>
      </c>
      <c r="H11" s="10" t="s">
        <v>273</v>
      </c>
      <c r="I11" s="10" t="s">
        <v>274</v>
      </c>
      <c r="J11" s="10" t="s">
        <v>275</v>
      </c>
      <c r="K11" s="10" t="s">
        <v>276</v>
      </c>
      <c r="L11" s="10" t="s">
        <v>277</v>
      </c>
      <c r="M11" s="10" t="s">
        <v>278</v>
      </c>
      <c r="N11" s="10" t="s">
        <v>279</v>
      </c>
      <c r="O11" s="10" t="s">
        <v>280</v>
      </c>
      <c r="P11" s="10" t="s">
        <v>281</v>
      </c>
      <c r="Q11" s="10" t="s">
        <v>282</v>
      </c>
      <c r="R11" s="10" t="s">
        <v>283</v>
      </c>
      <c r="S11" s="10" t="s">
        <v>284</v>
      </c>
      <c r="T11" s="10" t="s">
        <v>285</v>
      </c>
      <c r="U11" s="10" t="s">
        <v>286</v>
      </c>
      <c r="V11" s="10" t="s">
        <v>287</v>
      </c>
      <c r="W11" s="10" t="s">
        <v>288</v>
      </c>
      <c r="X11" s="10" t="s">
        <v>289</v>
      </c>
      <c r="Y11" s="10" t="s">
        <v>290</v>
      </c>
      <c r="Z11" s="10" t="s">
        <v>291</v>
      </c>
      <c r="AA11" s="10" t="s">
        <v>292</v>
      </c>
      <c r="AB11" s="10" t="s">
        <v>293</v>
      </c>
      <c r="AC11" s="10" t="s">
        <v>294</v>
      </c>
      <c r="AD11" s="10" t="s">
        <v>295</v>
      </c>
      <c r="AE11" s="10" t="s">
        <v>296</v>
      </c>
      <c r="AF11" s="10" t="s">
        <v>297</v>
      </c>
      <c r="AG11" s="10" t="s">
        <v>298</v>
      </c>
      <c r="AH11" s="10" t="s">
        <v>299</v>
      </c>
      <c r="AI11" s="10" t="s">
        <v>300</v>
      </c>
      <c r="AJ11" s="10" t="s">
        <v>301</v>
      </c>
      <c r="AK11" s="10" t="s">
        <v>302</v>
      </c>
      <c r="AL11" s="10" t="s">
        <v>17</v>
      </c>
      <c r="AM11" s="10" t="s">
        <v>272</v>
      </c>
      <c r="AN11" s="10" t="s">
        <v>273</v>
      </c>
      <c r="AO11" s="10" t="s">
        <v>274</v>
      </c>
      <c r="AP11" s="10" t="s">
        <v>275</v>
      </c>
      <c r="AQ11" s="10" t="s">
        <v>276</v>
      </c>
      <c r="AR11" s="10" t="s">
        <v>277</v>
      </c>
      <c r="AS11" s="10" t="s">
        <v>278</v>
      </c>
      <c r="AT11" s="10" t="s">
        <v>279</v>
      </c>
      <c r="AU11" s="10" t="s">
        <v>280</v>
      </c>
      <c r="AV11" s="10" t="s">
        <v>281</v>
      </c>
      <c r="AW11" s="10" t="s">
        <v>282</v>
      </c>
      <c r="AX11" s="10" t="s">
        <v>283</v>
      </c>
      <c r="AY11" s="10" t="s">
        <v>284</v>
      </c>
      <c r="AZ11" s="10" t="s">
        <v>285</v>
      </c>
      <c r="BA11" s="10" t="s">
        <v>286</v>
      </c>
      <c r="BB11" s="10" t="s">
        <v>287</v>
      </c>
      <c r="BC11" s="10" t="s">
        <v>288</v>
      </c>
      <c r="BD11" s="10" t="s">
        <v>289</v>
      </c>
      <c r="BE11" s="10" t="s">
        <v>290</v>
      </c>
      <c r="BF11" s="10" t="s">
        <v>291</v>
      </c>
      <c r="BG11" s="10" t="s">
        <v>292</v>
      </c>
      <c r="BH11" s="10" t="s">
        <v>293</v>
      </c>
      <c r="BI11" s="10" t="s">
        <v>294</v>
      </c>
      <c r="BJ11" s="10" t="s">
        <v>295</v>
      </c>
      <c r="BK11" s="10" t="s">
        <v>296</v>
      </c>
      <c r="BL11" s="10" t="s">
        <v>297</v>
      </c>
      <c r="BM11" s="10" t="s">
        <v>298</v>
      </c>
      <c r="BN11" s="10" t="s">
        <v>299</v>
      </c>
      <c r="BO11" s="10" t="s">
        <v>300</v>
      </c>
      <c r="BP11" s="10" t="s">
        <v>301</v>
      </c>
      <c r="BQ11" s="10" t="s">
        <v>302</v>
      </c>
      <c r="BR11" s="8" t="s">
        <v>18</v>
      </c>
      <c r="BS11" s="50"/>
      <c r="BT11" s="48"/>
    </row>
    <row r="12" spans="2:72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52</v>
      </c>
      <c r="P12" s="14" t="s">
        <v>53</v>
      </c>
      <c r="Q12" s="14" t="s">
        <v>54</v>
      </c>
      <c r="R12" s="14" t="s">
        <v>55</v>
      </c>
      <c r="S12" s="14" t="s">
        <v>89</v>
      </c>
      <c r="T12" s="14" t="s">
        <v>90</v>
      </c>
      <c r="U12" s="14" t="s">
        <v>174</v>
      </c>
      <c r="V12" s="14" t="s">
        <v>175</v>
      </c>
      <c r="W12" s="14" t="s">
        <v>176</v>
      </c>
      <c r="X12" s="14" t="s">
        <v>177</v>
      </c>
      <c r="Y12" s="14" t="s">
        <v>178</v>
      </c>
      <c r="Z12" s="14" t="s">
        <v>249</v>
      </c>
      <c r="AA12" s="14" t="s">
        <v>254</v>
      </c>
      <c r="AB12" s="14" t="s">
        <v>258</v>
      </c>
      <c r="AC12" s="14" t="s">
        <v>259</v>
      </c>
      <c r="AD12" s="14" t="s">
        <v>260</v>
      </c>
      <c r="AE12" s="14" t="s">
        <v>261</v>
      </c>
      <c r="AF12" s="14" t="s">
        <v>262</v>
      </c>
      <c r="AG12" s="14" t="s">
        <v>263</v>
      </c>
      <c r="AH12" s="14" t="s">
        <v>264</v>
      </c>
      <c r="AI12" s="14" t="s">
        <v>265</v>
      </c>
      <c r="AJ12" s="14" t="s">
        <v>266</v>
      </c>
      <c r="AK12" s="14" t="s">
        <v>270</v>
      </c>
      <c r="AL12" s="14" t="s">
        <v>26</v>
      </c>
      <c r="AM12" s="14" t="s">
        <v>27</v>
      </c>
      <c r="AN12" s="14" t="s">
        <v>28</v>
      </c>
      <c r="AO12" s="14" t="s">
        <v>56</v>
      </c>
      <c r="AP12" s="14" t="s">
        <v>57</v>
      </c>
      <c r="AQ12" s="14" t="s">
        <v>58</v>
      </c>
      <c r="AR12" s="14" t="s">
        <v>223</v>
      </c>
      <c r="AS12" s="14" t="s">
        <v>59</v>
      </c>
      <c r="AT12" s="14" t="s">
        <v>60</v>
      </c>
      <c r="AU12" s="14" t="s">
        <v>61</v>
      </c>
      <c r="AV12" s="14" t="s">
        <v>62</v>
      </c>
      <c r="AW12" s="14" t="s">
        <v>63</v>
      </c>
      <c r="AX12" s="14" t="s">
        <v>64</v>
      </c>
      <c r="AY12" s="14" t="s">
        <v>65</v>
      </c>
      <c r="AZ12" s="14" t="s">
        <v>66</v>
      </c>
      <c r="BA12" s="14" t="s">
        <v>67</v>
      </c>
      <c r="BB12" s="26" t="s">
        <v>68</v>
      </c>
      <c r="BC12" s="26" t="s">
        <v>158</v>
      </c>
      <c r="BD12" s="26" t="s">
        <v>159</v>
      </c>
      <c r="BE12" s="26" t="s">
        <v>160</v>
      </c>
      <c r="BF12" s="26" t="s">
        <v>161</v>
      </c>
      <c r="BG12" s="26" t="s">
        <v>162</v>
      </c>
      <c r="BH12" s="26" t="s">
        <v>179</v>
      </c>
      <c r="BI12" s="26" t="s">
        <v>180</v>
      </c>
      <c r="BJ12" s="26" t="s">
        <v>181</v>
      </c>
      <c r="BK12" s="26" t="s">
        <v>182</v>
      </c>
      <c r="BL12" s="26" t="s">
        <v>183</v>
      </c>
      <c r="BM12" s="26" t="s">
        <v>184</v>
      </c>
      <c r="BN12" s="26" t="s">
        <v>188</v>
      </c>
      <c r="BO12" s="26" t="s">
        <v>267</v>
      </c>
      <c r="BP12" s="26" t="s">
        <v>268</v>
      </c>
      <c r="BQ12" s="26" t="s">
        <v>271</v>
      </c>
      <c r="BR12" s="14" t="s">
        <v>29</v>
      </c>
      <c r="BS12" s="13" t="s">
        <v>30</v>
      </c>
      <c r="BT12" s="13" t="s">
        <v>31</v>
      </c>
    </row>
    <row r="13" spans="2:72" s="22" customFormat="1" ht="74.25" customHeight="1" x14ac:dyDescent="0.25">
      <c r="B13" s="15">
        <v>1</v>
      </c>
      <c r="C13" s="24" t="s">
        <v>44</v>
      </c>
      <c r="D13" s="16"/>
      <c r="E13" s="16" t="s">
        <v>45</v>
      </c>
      <c r="F13" s="16">
        <f>'T05'!BA13</f>
        <v>1589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4" t="s">
        <v>26</v>
      </c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16"/>
      <c r="BD13" s="16"/>
      <c r="BE13" s="16"/>
      <c r="BF13" s="23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25">
        <f>SUM(AM13:BQ13)</f>
        <v>0</v>
      </c>
      <c r="BS13" s="25" t="e">
        <f>F13+AL13-BR13</f>
        <v>#VALUE!</v>
      </c>
      <c r="BT13" s="23" t="s">
        <v>93</v>
      </c>
    </row>
    <row r="14" spans="2:72" ht="24" customHeight="1" x14ac:dyDescent="0.25">
      <c r="B14" s="15" t="s">
        <v>32</v>
      </c>
      <c r="C14" s="15"/>
      <c r="D14" s="15"/>
      <c r="E14" s="15"/>
      <c r="F14" s="8">
        <f>F13</f>
        <v>1589</v>
      </c>
      <c r="G14" s="8">
        <f t="shared" ref="G14:AI14" si="0">G13</f>
        <v>0</v>
      </c>
      <c r="H14" s="8">
        <f t="shared" si="0"/>
        <v>0</v>
      </c>
      <c r="I14" s="8">
        <f t="shared" si="0"/>
        <v>0</v>
      </c>
      <c r="J14" s="8">
        <f t="shared" si="0"/>
        <v>0</v>
      </c>
      <c r="K14" s="8">
        <f t="shared" si="0"/>
        <v>0</v>
      </c>
      <c r="L14" s="8">
        <f t="shared" si="0"/>
        <v>0</v>
      </c>
      <c r="M14" s="8">
        <f t="shared" si="0"/>
        <v>0</v>
      </c>
      <c r="N14" s="8">
        <f t="shared" si="0"/>
        <v>0</v>
      </c>
      <c r="O14" s="8">
        <f t="shared" si="0"/>
        <v>0</v>
      </c>
      <c r="P14" s="8">
        <f t="shared" si="0"/>
        <v>0</v>
      </c>
      <c r="Q14" s="8">
        <f t="shared" si="0"/>
        <v>0</v>
      </c>
      <c r="R14" s="8">
        <f t="shared" si="0"/>
        <v>0</v>
      </c>
      <c r="S14" s="8">
        <f t="shared" si="0"/>
        <v>0</v>
      </c>
      <c r="T14" s="8">
        <f t="shared" si="0"/>
        <v>0</v>
      </c>
      <c r="U14" s="8">
        <f t="shared" si="0"/>
        <v>0</v>
      </c>
      <c r="V14" s="8">
        <f t="shared" si="0"/>
        <v>0</v>
      </c>
      <c r="W14" s="8">
        <f t="shared" si="0"/>
        <v>0</v>
      </c>
      <c r="X14" s="8">
        <f t="shared" si="0"/>
        <v>0</v>
      </c>
      <c r="Y14" s="8">
        <f t="shared" si="0"/>
        <v>0</v>
      </c>
      <c r="Z14" s="8">
        <f t="shared" si="0"/>
        <v>0</v>
      </c>
      <c r="AA14" s="8">
        <f t="shared" si="0"/>
        <v>0</v>
      </c>
      <c r="AB14" s="8">
        <f t="shared" si="0"/>
        <v>0</v>
      </c>
      <c r="AC14" s="8">
        <f t="shared" si="0"/>
        <v>0</v>
      </c>
      <c r="AD14" s="8">
        <f t="shared" si="0"/>
        <v>0</v>
      </c>
      <c r="AE14" s="8">
        <f t="shared" si="0"/>
        <v>0</v>
      </c>
      <c r="AF14" s="8">
        <f t="shared" si="0"/>
        <v>0</v>
      </c>
      <c r="AG14" s="8">
        <f t="shared" si="0"/>
        <v>0</v>
      </c>
      <c r="AH14" s="8">
        <f t="shared" si="0"/>
        <v>0</v>
      </c>
      <c r="AI14" s="8">
        <f t="shared" si="0"/>
        <v>0</v>
      </c>
      <c r="AJ14" s="8">
        <f t="shared" ref="AJ14:BS14" si="1">AJ13</f>
        <v>0</v>
      </c>
      <c r="AK14" s="8">
        <f t="shared" si="1"/>
        <v>0</v>
      </c>
      <c r="AL14" s="8" t="str">
        <f t="shared" si="1"/>
        <v>(6)=∑(6.i)</v>
      </c>
      <c r="AM14" s="8">
        <f t="shared" si="1"/>
        <v>0</v>
      </c>
      <c r="AN14" s="8">
        <f t="shared" si="1"/>
        <v>0</v>
      </c>
      <c r="AO14" s="8">
        <f t="shared" si="1"/>
        <v>0</v>
      </c>
      <c r="AP14" s="8">
        <f t="shared" si="1"/>
        <v>0</v>
      </c>
      <c r="AQ14" s="8">
        <f t="shared" si="1"/>
        <v>0</v>
      </c>
      <c r="AR14" s="8">
        <f t="shared" si="1"/>
        <v>0</v>
      </c>
      <c r="AS14" s="8">
        <f t="shared" si="1"/>
        <v>0</v>
      </c>
      <c r="AT14" s="8">
        <f t="shared" si="1"/>
        <v>0</v>
      </c>
      <c r="AU14" s="8">
        <f t="shared" si="1"/>
        <v>0</v>
      </c>
      <c r="AV14" s="8">
        <f t="shared" si="1"/>
        <v>0</v>
      </c>
      <c r="AW14" s="8">
        <f t="shared" si="1"/>
        <v>0</v>
      </c>
      <c r="AX14" s="8">
        <f t="shared" si="1"/>
        <v>0</v>
      </c>
      <c r="AY14" s="8">
        <f t="shared" si="1"/>
        <v>0</v>
      </c>
      <c r="AZ14" s="8">
        <f t="shared" si="1"/>
        <v>0</v>
      </c>
      <c r="BA14" s="8">
        <f t="shared" si="1"/>
        <v>0</v>
      </c>
      <c r="BB14" s="8">
        <f t="shared" si="1"/>
        <v>0</v>
      </c>
      <c r="BC14" s="8">
        <f t="shared" si="1"/>
        <v>0</v>
      </c>
      <c r="BD14" s="8">
        <f t="shared" si="1"/>
        <v>0</v>
      </c>
      <c r="BE14" s="8">
        <f t="shared" si="1"/>
        <v>0</v>
      </c>
      <c r="BF14" s="8">
        <f t="shared" si="1"/>
        <v>0</v>
      </c>
      <c r="BG14" s="8">
        <f t="shared" si="1"/>
        <v>0</v>
      </c>
      <c r="BH14" s="8">
        <f t="shared" si="1"/>
        <v>0</v>
      </c>
      <c r="BI14" s="8">
        <f t="shared" si="1"/>
        <v>0</v>
      </c>
      <c r="BJ14" s="8">
        <f t="shared" si="1"/>
        <v>0</v>
      </c>
      <c r="BK14" s="8">
        <f t="shared" si="1"/>
        <v>0</v>
      </c>
      <c r="BL14" s="8">
        <f t="shared" si="1"/>
        <v>0</v>
      </c>
      <c r="BM14" s="8">
        <f t="shared" si="1"/>
        <v>0</v>
      </c>
      <c r="BN14" s="8">
        <f t="shared" si="1"/>
        <v>0</v>
      </c>
      <c r="BO14" s="8">
        <f t="shared" si="1"/>
        <v>0</v>
      </c>
      <c r="BP14" s="8">
        <f t="shared" si="1"/>
        <v>0</v>
      </c>
      <c r="BQ14" s="8">
        <f t="shared" si="1"/>
        <v>0</v>
      </c>
      <c r="BR14" s="8">
        <f t="shared" si="1"/>
        <v>0</v>
      </c>
      <c r="BS14" s="8" t="e">
        <f t="shared" si="1"/>
        <v>#VALUE!</v>
      </c>
      <c r="BT14" s="27"/>
    </row>
    <row r="15" spans="2:72" ht="24" customHeight="1" x14ac:dyDescent="0.25">
      <c r="B15" s="17"/>
      <c r="C15" s="17"/>
      <c r="D15" s="17"/>
      <c r="E15" s="17"/>
      <c r="F15" s="18" t="s">
        <v>96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AL15" s="57" t="s">
        <v>33</v>
      </c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"/>
      <c r="BL15" s="5"/>
      <c r="BM15" s="5"/>
      <c r="BN15" s="5"/>
      <c r="BO15" s="5"/>
      <c r="BP15" s="5"/>
      <c r="BQ15" s="5"/>
      <c r="BR15" s="19"/>
    </row>
    <row r="16" spans="2:72" ht="24" customHeight="1" x14ac:dyDescent="0.25">
      <c r="B16" s="17"/>
      <c r="C16" s="17"/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5"/>
      <c r="BL16" s="5"/>
      <c r="BM16" s="5"/>
      <c r="BN16" s="5"/>
      <c r="BO16" s="5"/>
      <c r="BP16" s="5"/>
      <c r="BQ16" s="5"/>
      <c r="BR16" s="19"/>
    </row>
    <row r="17" spans="2:71" ht="24" customHeight="1" x14ac:dyDescent="0.25">
      <c r="B17" s="17"/>
      <c r="C17" s="17"/>
      <c r="D17" s="17"/>
      <c r="E17" s="17"/>
    </row>
    <row r="18" spans="2:71" ht="24" customHeight="1" x14ac:dyDescent="0.25">
      <c r="B18" s="17"/>
      <c r="C18" s="17"/>
      <c r="D18" s="17"/>
      <c r="E18" s="17"/>
    </row>
    <row r="19" spans="2:71" ht="24" customHeight="1" x14ac:dyDescent="0.25">
      <c r="B19" s="17"/>
      <c r="C19" s="17"/>
      <c r="D19" s="17"/>
      <c r="E19" s="17"/>
      <c r="F19" s="19" t="s">
        <v>94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2:71" ht="24" customHeight="1" x14ac:dyDescent="0.3">
      <c r="B20" s="17"/>
      <c r="C20" s="17"/>
      <c r="D20" s="17"/>
      <c r="E20" s="17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AL20" s="45" t="s">
        <v>92</v>
      </c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</row>
    <row r="21" spans="2:71" x14ac:dyDescent="0.25">
      <c r="B21" s="20" t="s">
        <v>34</v>
      </c>
      <c r="C21" s="20"/>
      <c r="D21" s="20"/>
      <c r="E21" s="20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2:71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</row>
    <row r="23" spans="2:71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</row>
    <row r="24" spans="2:71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</row>
    <row r="25" spans="2:71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</row>
    <row r="26" spans="2:71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</row>
    <row r="27" spans="2:71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</row>
    <row r="28" spans="2:71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</row>
  </sheetData>
  <mergeCells count="23">
    <mergeCell ref="AL15:BJ15"/>
    <mergeCell ref="B4:BS4"/>
    <mergeCell ref="B5:BS5"/>
    <mergeCell ref="B9:B11"/>
    <mergeCell ref="C9:C11"/>
    <mergeCell ref="D9:D11"/>
    <mergeCell ref="E9:E11"/>
    <mergeCell ref="AM9:BR9"/>
    <mergeCell ref="AM10:BR10"/>
    <mergeCell ref="BT9:BT11"/>
    <mergeCell ref="F10:F11"/>
    <mergeCell ref="BS10:BS11"/>
    <mergeCell ref="G9:AL9"/>
    <mergeCell ref="G10:AL10"/>
    <mergeCell ref="B26:BQ26"/>
    <mergeCell ref="B27:BQ27"/>
    <mergeCell ref="B28:BR28"/>
    <mergeCell ref="AL16:BJ16"/>
    <mergeCell ref="AL20:BJ20"/>
    <mergeCell ref="B22:BS22"/>
    <mergeCell ref="B23:BS23"/>
    <mergeCell ref="B24:BS24"/>
    <mergeCell ref="B25:BS25"/>
  </mergeCells>
  <phoneticPr fontId="12" type="noConversion"/>
  <pageMargins left="0.7" right="0.7" top="0.75" bottom="0.75" header="0.3" footer="0.3"/>
  <pageSetup paperSize="9" scale="3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5F78-82DE-4022-8B7E-FE707A30F20B}">
  <sheetPr codeName="Sheet7">
    <pageSetUpPr fitToPage="1"/>
  </sheetPr>
  <dimension ref="B1:AM28"/>
  <sheetViews>
    <sheetView topLeftCell="J3" zoomScale="66" zoomScaleNormal="66" workbookViewId="0">
      <selection activeCell="F14" sqref="F14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7.7109375" style="1" customWidth="1"/>
    <col min="4" max="4" width="16.28515625" style="1" customWidth="1"/>
    <col min="5" max="5" width="13.42578125" style="1" customWidth="1"/>
    <col min="6" max="6" width="16.7109375" style="1" customWidth="1"/>
    <col min="7" max="20" width="8.7109375" style="3" customWidth="1"/>
    <col min="21" max="21" width="10.7109375" style="3" customWidth="1"/>
    <col min="22" max="35" width="8.42578125" style="3" customWidth="1"/>
    <col min="36" max="36" width="8.42578125" style="1" customWidth="1"/>
    <col min="37" max="37" width="17.140625" style="1" customWidth="1"/>
    <col min="38" max="38" width="21" style="1" customWidth="1"/>
    <col min="39" max="39" width="20.7109375" style="1" customWidth="1"/>
    <col min="40" max="268" width="8.7109375" style="1"/>
    <col min="269" max="269" width="3.7109375" style="1" customWidth="1"/>
    <col min="270" max="270" width="4.28515625" style="1" customWidth="1"/>
    <col min="271" max="271" width="11.28515625" style="1" customWidth="1"/>
    <col min="272" max="272" width="13.42578125" style="1" customWidth="1"/>
    <col min="273" max="275" width="5.42578125" style="1" customWidth="1"/>
    <col min="276" max="276" width="8.28515625" style="1" customWidth="1"/>
    <col min="277" max="279" width="4.7109375" style="1" customWidth="1"/>
    <col min="280" max="280" width="11.7109375" style="1" customWidth="1"/>
    <col min="281" max="282" width="7" style="1" customWidth="1"/>
    <col min="283" max="283" width="6.42578125" style="1" customWidth="1"/>
    <col min="284" max="284" width="15" style="1" customWidth="1"/>
    <col min="285" max="285" width="5.28515625" style="1" customWidth="1"/>
    <col min="286" max="288" width="4.7109375" style="1" customWidth="1"/>
    <col min="289" max="289" width="11.7109375" style="1" customWidth="1"/>
    <col min="290" max="290" width="10" style="1" customWidth="1"/>
    <col min="291" max="291" width="7.42578125" style="1" customWidth="1"/>
    <col min="292" max="292" width="7.140625" style="1" customWidth="1"/>
    <col min="293" max="293" width="6.42578125" style="1" customWidth="1"/>
    <col min="294" max="524" width="8.7109375" style="1"/>
    <col min="525" max="525" width="3.7109375" style="1" customWidth="1"/>
    <col min="526" max="526" width="4.28515625" style="1" customWidth="1"/>
    <col min="527" max="527" width="11.28515625" style="1" customWidth="1"/>
    <col min="528" max="528" width="13.42578125" style="1" customWidth="1"/>
    <col min="529" max="531" width="5.42578125" style="1" customWidth="1"/>
    <col min="532" max="532" width="8.28515625" style="1" customWidth="1"/>
    <col min="533" max="535" width="4.7109375" style="1" customWidth="1"/>
    <col min="536" max="536" width="11.7109375" style="1" customWidth="1"/>
    <col min="537" max="538" width="7" style="1" customWidth="1"/>
    <col min="539" max="539" width="6.42578125" style="1" customWidth="1"/>
    <col min="540" max="540" width="15" style="1" customWidth="1"/>
    <col min="541" max="541" width="5.28515625" style="1" customWidth="1"/>
    <col min="542" max="544" width="4.7109375" style="1" customWidth="1"/>
    <col min="545" max="545" width="11.7109375" style="1" customWidth="1"/>
    <col min="546" max="546" width="10" style="1" customWidth="1"/>
    <col min="547" max="547" width="7.42578125" style="1" customWidth="1"/>
    <col min="548" max="548" width="7.140625" style="1" customWidth="1"/>
    <col min="549" max="549" width="6.42578125" style="1" customWidth="1"/>
    <col min="550" max="780" width="8.7109375" style="1"/>
    <col min="781" max="781" width="3.7109375" style="1" customWidth="1"/>
    <col min="782" max="782" width="4.28515625" style="1" customWidth="1"/>
    <col min="783" max="783" width="11.28515625" style="1" customWidth="1"/>
    <col min="784" max="784" width="13.42578125" style="1" customWidth="1"/>
    <col min="785" max="787" width="5.42578125" style="1" customWidth="1"/>
    <col min="788" max="788" width="8.28515625" style="1" customWidth="1"/>
    <col min="789" max="791" width="4.7109375" style="1" customWidth="1"/>
    <col min="792" max="792" width="11.7109375" style="1" customWidth="1"/>
    <col min="793" max="794" width="7" style="1" customWidth="1"/>
    <col min="795" max="795" width="6.42578125" style="1" customWidth="1"/>
    <col min="796" max="796" width="15" style="1" customWidth="1"/>
    <col min="797" max="797" width="5.28515625" style="1" customWidth="1"/>
    <col min="798" max="800" width="4.7109375" style="1" customWidth="1"/>
    <col min="801" max="801" width="11.7109375" style="1" customWidth="1"/>
    <col min="802" max="802" width="10" style="1" customWidth="1"/>
    <col min="803" max="803" width="7.42578125" style="1" customWidth="1"/>
    <col min="804" max="804" width="7.140625" style="1" customWidth="1"/>
    <col min="805" max="805" width="6.42578125" style="1" customWidth="1"/>
    <col min="806" max="1036" width="8.7109375" style="1"/>
    <col min="1037" max="1037" width="3.7109375" style="1" customWidth="1"/>
    <col min="1038" max="1038" width="4.28515625" style="1" customWidth="1"/>
    <col min="1039" max="1039" width="11.28515625" style="1" customWidth="1"/>
    <col min="1040" max="1040" width="13.42578125" style="1" customWidth="1"/>
    <col min="1041" max="1043" width="5.42578125" style="1" customWidth="1"/>
    <col min="1044" max="1044" width="8.28515625" style="1" customWidth="1"/>
    <col min="1045" max="1047" width="4.7109375" style="1" customWidth="1"/>
    <col min="1048" max="1048" width="11.7109375" style="1" customWidth="1"/>
    <col min="1049" max="1050" width="7" style="1" customWidth="1"/>
    <col min="1051" max="1051" width="6.42578125" style="1" customWidth="1"/>
    <col min="1052" max="1052" width="15" style="1" customWidth="1"/>
    <col min="1053" max="1053" width="5.28515625" style="1" customWidth="1"/>
    <col min="1054" max="1056" width="4.7109375" style="1" customWidth="1"/>
    <col min="1057" max="1057" width="11.7109375" style="1" customWidth="1"/>
    <col min="1058" max="1058" width="10" style="1" customWidth="1"/>
    <col min="1059" max="1059" width="7.42578125" style="1" customWidth="1"/>
    <col min="1060" max="1060" width="7.140625" style="1" customWidth="1"/>
    <col min="1061" max="1061" width="6.42578125" style="1" customWidth="1"/>
    <col min="1062" max="1292" width="8.7109375" style="1"/>
    <col min="1293" max="1293" width="3.7109375" style="1" customWidth="1"/>
    <col min="1294" max="1294" width="4.28515625" style="1" customWidth="1"/>
    <col min="1295" max="1295" width="11.28515625" style="1" customWidth="1"/>
    <col min="1296" max="1296" width="13.42578125" style="1" customWidth="1"/>
    <col min="1297" max="1299" width="5.42578125" style="1" customWidth="1"/>
    <col min="1300" max="1300" width="8.28515625" style="1" customWidth="1"/>
    <col min="1301" max="1303" width="4.7109375" style="1" customWidth="1"/>
    <col min="1304" max="1304" width="11.7109375" style="1" customWidth="1"/>
    <col min="1305" max="1306" width="7" style="1" customWidth="1"/>
    <col min="1307" max="1307" width="6.42578125" style="1" customWidth="1"/>
    <col min="1308" max="1308" width="15" style="1" customWidth="1"/>
    <col min="1309" max="1309" width="5.28515625" style="1" customWidth="1"/>
    <col min="1310" max="1312" width="4.7109375" style="1" customWidth="1"/>
    <col min="1313" max="1313" width="11.7109375" style="1" customWidth="1"/>
    <col min="1314" max="1314" width="10" style="1" customWidth="1"/>
    <col min="1315" max="1315" width="7.42578125" style="1" customWidth="1"/>
    <col min="1316" max="1316" width="7.140625" style="1" customWidth="1"/>
    <col min="1317" max="1317" width="6.42578125" style="1" customWidth="1"/>
    <col min="1318" max="1548" width="8.7109375" style="1"/>
    <col min="1549" max="1549" width="3.7109375" style="1" customWidth="1"/>
    <col min="1550" max="1550" width="4.28515625" style="1" customWidth="1"/>
    <col min="1551" max="1551" width="11.28515625" style="1" customWidth="1"/>
    <col min="1552" max="1552" width="13.42578125" style="1" customWidth="1"/>
    <col min="1553" max="1555" width="5.42578125" style="1" customWidth="1"/>
    <col min="1556" max="1556" width="8.28515625" style="1" customWidth="1"/>
    <col min="1557" max="1559" width="4.7109375" style="1" customWidth="1"/>
    <col min="1560" max="1560" width="11.7109375" style="1" customWidth="1"/>
    <col min="1561" max="1562" width="7" style="1" customWidth="1"/>
    <col min="1563" max="1563" width="6.42578125" style="1" customWidth="1"/>
    <col min="1564" max="1564" width="15" style="1" customWidth="1"/>
    <col min="1565" max="1565" width="5.28515625" style="1" customWidth="1"/>
    <col min="1566" max="1568" width="4.7109375" style="1" customWidth="1"/>
    <col min="1569" max="1569" width="11.7109375" style="1" customWidth="1"/>
    <col min="1570" max="1570" width="10" style="1" customWidth="1"/>
    <col min="1571" max="1571" width="7.42578125" style="1" customWidth="1"/>
    <col min="1572" max="1572" width="7.140625" style="1" customWidth="1"/>
    <col min="1573" max="1573" width="6.42578125" style="1" customWidth="1"/>
    <col min="1574" max="1804" width="8.7109375" style="1"/>
    <col min="1805" max="1805" width="3.7109375" style="1" customWidth="1"/>
    <col min="1806" max="1806" width="4.28515625" style="1" customWidth="1"/>
    <col min="1807" max="1807" width="11.28515625" style="1" customWidth="1"/>
    <col min="1808" max="1808" width="13.42578125" style="1" customWidth="1"/>
    <col min="1809" max="1811" width="5.42578125" style="1" customWidth="1"/>
    <col min="1812" max="1812" width="8.28515625" style="1" customWidth="1"/>
    <col min="1813" max="1815" width="4.7109375" style="1" customWidth="1"/>
    <col min="1816" max="1816" width="11.7109375" style="1" customWidth="1"/>
    <col min="1817" max="1818" width="7" style="1" customWidth="1"/>
    <col min="1819" max="1819" width="6.42578125" style="1" customWidth="1"/>
    <col min="1820" max="1820" width="15" style="1" customWidth="1"/>
    <col min="1821" max="1821" width="5.28515625" style="1" customWidth="1"/>
    <col min="1822" max="1824" width="4.7109375" style="1" customWidth="1"/>
    <col min="1825" max="1825" width="11.7109375" style="1" customWidth="1"/>
    <col min="1826" max="1826" width="10" style="1" customWidth="1"/>
    <col min="1827" max="1827" width="7.42578125" style="1" customWidth="1"/>
    <col min="1828" max="1828" width="7.140625" style="1" customWidth="1"/>
    <col min="1829" max="1829" width="6.42578125" style="1" customWidth="1"/>
    <col min="1830" max="2060" width="8.7109375" style="1"/>
    <col min="2061" max="2061" width="3.7109375" style="1" customWidth="1"/>
    <col min="2062" max="2062" width="4.28515625" style="1" customWidth="1"/>
    <col min="2063" max="2063" width="11.28515625" style="1" customWidth="1"/>
    <col min="2064" max="2064" width="13.42578125" style="1" customWidth="1"/>
    <col min="2065" max="2067" width="5.42578125" style="1" customWidth="1"/>
    <col min="2068" max="2068" width="8.28515625" style="1" customWidth="1"/>
    <col min="2069" max="2071" width="4.7109375" style="1" customWidth="1"/>
    <col min="2072" max="2072" width="11.7109375" style="1" customWidth="1"/>
    <col min="2073" max="2074" width="7" style="1" customWidth="1"/>
    <col min="2075" max="2075" width="6.42578125" style="1" customWidth="1"/>
    <col min="2076" max="2076" width="15" style="1" customWidth="1"/>
    <col min="2077" max="2077" width="5.28515625" style="1" customWidth="1"/>
    <col min="2078" max="2080" width="4.7109375" style="1" customWidth="1"/>
    <col min="2081" max="2081" width="11.7109375" style="1" customWidth="1"/>
    <col min="2082" max="2082" width="10" style="1" customWidth="1"/>
    <col min="2083" max="2083" width="7.42578125" style="1" customWidth="1"/>
    <col min="2084" max="2084" width="7.140625" style="1" customWidth="1"/>
    <col min="2085" max="2085" width="6.42578125" style="1" customWidth="1"/>
    <col min="2086" max="2316" width="8.7109375" style="1"/>
    <col min="2317" max="2317" width="3.7109375" style="1" customWidth="1"/>
    <col min="2318" max="2318" width="4.28515625" style="1" customWidth="1"/>
    <col min="2319" max="2319" width="11.28515625" style="1" customWidth="1"/>
    <col min="2320" max="2320" width="13.42578125" style="1" customWidth="1"/>
    <col min="2321" max="2323" width="5.42578125" style="1" customWidth="1"/>
    <col min="2324" max="2324" width="8.28515625" style="1" customWidth="1"/>
    <col min="2325" max="2327" width="4.7109375" style="1" customWidth="1"/>
    <col min="2328" max="2328" width="11.7109375" style="1" customWidth="1"/>
    <col min="2329" max="2330" width="7" style="1" customWidth="1"/>
    <col min="2331" max="2331" width="6.42578125" style="1" customWidth="1"/>
    <col min="2332" max="2332" width="15" style="1" customWidth="1"/>
    <col min="2333" max="2333" width="5.28515625" style="1" customWidth="1"/>
    <col min="2334" max="2336" width="4.7109375" style="1" customWidth="1"/>
    <col min="2337" max="2337" width="11.7109375" style="1" customWidth="1"/>
    <col min="2338" max="2338" width="10" style="1" customWidth="1"/>
    <col min="2339" max="2339" width="7.42578125" style="1" customWidth="1"/>
    <col min="2340" max="2340" width="7.140625" style="1" customWidth="1"/>
    <col min="2341" max="2341" width="6.42578125" style="1" customWidth="1"/>
    <col min="2342" max="2572" width="8.7109375" style="1"/>
    <col min="2573" max="2573" width="3.7109375" style="1" customWidth="1"/>
    <col min="2574" max="2574" width="4.28515625" style="1" customWidth="1"/>
    <col min="2575" max="2575" width="11.28515625" style="1" customWidth="1"/>
    <col min="2576" max="2576" width="13.42578125" style="1" customWidth="1"/>
    <col min="2577" max="2579" width="5.42578125" style="1" customWidth="1"/>
    <col min="2580" max="2580" width="8.28515625" style="1" customWidth="1"/>
    <col min="2581" max="2583" width="4.7109375" style="1" customWidth="1"/>
    <col min="2584" max="2584" width="11.7109375" style="1" customWidth="1"/>
    <col min="2585" max="2586" width="7" style="1" customWidth="1"/>
    <col min="2587" max="2587" width="6.42578125" style="1" customWidth="1"/>
    <col min="2588" max="2588" width="15" style="1" customWidth="1"/>
    <col min="2589" max="2589" width="5.28515625" style="1" customWidth="1"/>
    <col min="2590" max="2592" width="4.7109375" style="1" customWidth="1"/>
    <col min="2593" max="2593" width="11.7109375" style="1" customWidth="1"/>
    <col min="2594" max="2594" width="10" style="1" customWidth="1"/>
    <col min="2595" max="2595" width="7.42578125" style="1" customWidth="1"/>
    <col min="2596" max="2596" width="7.140625" style="1" customWidth="1"/>
    <col min="2597" max="2597" width="6.42578125" style="1" customWidth="1"/>
    <col min="2598" max="2828" width="8.7109375" style="1"/>
    <col min="2829" max="2829" width="3.7109375" style="1" customWidth="1"/>
    <col min="2830" max="2830" width="4.28515625" style="1" customWidth="1"/>
    <col min="2831" max="2831" width="11.28515625" style="1" customWidth="1"/>
    <col min="2832" max="2832" width="13.42578125" style="1" customWidth="1"/>
    <col min="2833" max="2835" width="5.42578125" style="1" customWidth="1"/>
    <col min="2836" max="2836" width="8.28515625" style="1" customWidth="1"/>
    <col min="2837" max="2839" width="4.7109375" style="1" customWidth="1"/>
    <col min="2840" max="2840" width="11.7109375" style="1" customWidth="1"/>
    <col min="2841" max="2842" width="7" style="1" customWidth="1"/>
    <col min="2843" max="2843" width="6.42578125" style="1" customWidth="1"/>
    <col min="2844" max="2844" width="15" style="1" customWidth="1"/>
    <col min="2845" max="2845" width="5.28515625" style="1" customWidth="1"/>
    <col min="2846" max="2848" width="4.7109375" style="1" customWidth="1"/>
    <col min="2849" max="2849" width="11.7109375" style="1" customWidth="1"/>
    <col min="2850" max="2850" width="10" style="1" customWidth="1"/>
    <col min="2851" max="2851" width="7.42578125" style="1" customWidth="1"/>
    <col min="2852" max="2852" width="7.140625" style="1" customWidth="1"/>
    <col min="2853" max="2853" width="6.42578125" style="1" customWidth="1"/>
    <col min="2854" max="3084" width="8.7109375" style="1"/>
    <col min="3085" max="3085" width="3.7109375" style="1" customWidth="1"/>
    <col min="3086" max="3086" width="4.28515625" style="1" customWidth="1"/>
    <col min="3087" max="3087" width="11.28515625" style="1" customWidth="1"/>
    <col min="3088" max="3088" width="13.42578125" style="1" customWidth="1"/>
    <col min="3089" max="3091" width="5.42578125" style="1" customWidth="1"/>
    <col min="3092" max="3092" width="8.28515625" style="1" customWidth="1"/>
    <col min="3093" max="3095" width="4.7109375" style="1" customWidth="1"/>
    <col min="3096" max="3096" width="11.7109375" style="1" customWidth="1"/>
    <col min="3097" max="3098" width="7" style="1" customWidth="1"/>
    <col min="3099" max="3099" width="6.42578125" style="1" customWidth="1"/>
    <col min="3100" max="3100" width="15" style="1" customWidth="1"/>
    <col min="3101" max="3101" width="5.28515625" style="1" customWidth="1"/>
    <col min="3102" max="3104" width="4.7109375" style="1" customWidth="1"/>
    <col min="3105" max="3105" width="11.7109375" style="1" customWidth="1"/>
    <col min="3106" max="3106" width="10" style="1" customWidth="1"/>
    <col min="3107" max="3107" width="7.42578125" style="1" customWidth="1"/>
    <col min="3108" max="3108" width="7.140625" style="1" customWidth="1"/>
    <col min="3109" max="3109" width="6.42578125" style="1" customWidth="1"/>
    <col min="3110" max="3340" width="8.7109375" style="1"/>
    <col min="3341" max="3341" width="3.7109375" style="1" customWidth="1"/>
    <col min="3342" max="3342" width="4.28515625" style="1" customWidth="1"/>
    <col min="3343" max="3343" width="11.28515625" style="1" customWidth="1"/>
    <col min="3344" max="3344" width="13.42578125" style="1" customWidth="1"/>
    <col min="3345" max="3347" width="5.42578125" style="1" customWidth="1"/>
    <col min="3348" max="3348" width="8.28515625" style="1" customWidth="1"/>
    <col min="3349" max="3351" width="4.7109375" style="1" customWidth="1"/>
    <col min="3352" max="3352" width="11.7109375" style="1" customWidth="1"/>
    <col min="3353" max="3354" width="7" style="1" customWidth="1"/>
    <col min="3355" max="3355" width="6.42578125" style="1" customWidth="1"/>
    <col min="3356" max="3356" width="15" style="1" customWidth="1"/>
    <col min="3357" max="3357" width="5.28515625" style="1" customWidth="1"/>
    <col min="3358" max="3360" width="4.7109375" style="1" customWidth="1"/>
    <col min="3361" max="3361" width="11.7109375" style="1" customWidth="1"/>
    <col min="3362" max="3362" width="10" style="1" customWidth="1"/>
    <col min="3363" max="3363" width="7.42578125" style="1" customWidth="1"/>
    <col min="3364" max="3364" width="7.140625" style="1" customWidth="1"/>
    <col min="3365" max="3365" width="6.42578125" style="1" customWidth="1"/>
    <col min="3366" max="3596" width="8.7109375" style="1"/>
    <col min="3597" max="3597" width="3.7109375" style="1" customWidth="1"/>
    <col min="3598" max="3598" width="4.28515625" style="1" customWidth="1"/>
    <col min="3599" max="3599" width="11.28515625" style="1" customWidth="1"/>
    <col min="3600" max="3600" width="13.42578125" style="1" customWidth="1"/>
    <col min="3601" max="3603" width="5.42578125" style="1" customWidth="1"/>
    <col min="3604" max="3604" width="8.28515625" style="1" customWidth="1"/>
    <col min="3605" max="3607" width="4.7109375" style="1" customWidth="1"/>
    <col min="3608" max="3608" width="11.7109375" style="1" customWidth="1"/>
    <col min="3609" max="3610" width="7" style="1" customWidth="1"/>
    <col min="3611" max="3611" width="6.42578125" style="1" customWidth="1"/>
    <col min="3612" max="3612" width="15" style="1" customWidth="1"/>
    <col min="3613" max="3613" width="5.28515625" style="1" customWidth="1"/>
    <col min="3614" max="3616" width="4.7109375" style="1" customWidth="1"/>
    <col min="3617" max="3617" width="11.7109375" style="1" customWidth="1"/>
    <col min="3618" max="3618" width="10" style="1" customWidth="1"/>
    <col min="3619" max="3619" width="7.42578125" style="1" customWidth="1"/>
    <col min="3620" max="3620" width="7.140625" style="1" customWidth="1"/>
    <col min="3621" max="3621" width="6.42578125" style="1" customWidth="1"/>
    <col min="3622" max="3852" width="8.7109375" style="1"/>
    <col min="3853" max="3853" width="3.7109375" style="1" customWidth="1"/>
    <col min="3854" max="3854" width="4.28515625" style="1" customWidth="1"/>
    <col min="3855" max="3855" width="11.28515625" style="1" customWidth="1"/>
    <col min="3856" max="3856" width="13.42578125" style="1" customWidth="1"/>
    <col min="3857" max="3859" width="5.42578125" style="1" customWidth="1"/>
    <col min="3860" max="3860" width="8.28515625" style="1" customWidth="1"/>
    <col min="3861" max="3863" width="4.7109375" style="1" customWidth="1"/>
    <col min="3864" max="3864" width="11.7109375" style="1" customWidth="1"/>
    <col min="3865" max="3866" width="7" style="1" customWidth="1"/>
    <col min="3867" max="3867" width="6.42578125" style="1" customWidth="1"/>
    <col min="3868" max="3868" width="15" style="1" customWidth="1"/>
    <col min="3869" max="3869" width="5.28515625" style="1" customWidth="1"/>
    <col min="3870" max="3872" width="4.7109375" style="1" customWidth="1"/>
    <col min="3873" max="3873" width="11.7109375" style="1" customWidth="1"/>
    <col min="3874" max="3874" width="10" style="1" customWidth="1"/>
    <col min="3875" max="3875" width="7.42578125" style="1" customWidth="1"/>
    <col min="3876" max="3876" width="7.140625" style="1" customWidth="1"/>
    <col min="3877" max="3877" width="6.42578125" style="1" customWidth="1"/>
    <col min="3878" max="4108" width="8.7109375" style="1"/>
    <col min="4109" max="4109" width="3.7109375" style="1" customWidth="1"/>
    <col min="4110" max="4110" width="4.28515625" style="1" customWidth="1"/>
    <col min="4111" max="4111" width="11.28515625" style="1" customWidth="1"/>
    <col min="4112" max="4112" width="13.42578125" style="1" customWidth="1"/>
    <col min="4113" max="4115" width="5.42578125" style="1" customWidth="1"/>
    <col min="4116" max="4116" width="8.28515625" style="1" customWidth="1"/>
    <col min="4117" max="4119" width="4.7109375" style="1" customWidth="1"/>
    <col min="4120" max="4120" width="11.7109375" style="1" customWidth="1"/>
    <col min="4121" max="4122" width="7" style="1" customWidth="1"/>
    <col min="4123" max="4123" width="6.42578125" style="1" customWidth="1"/>
    <col min="4124" max="4124" width="15" style="1" customWidth="1"/>
    <col min="4125" max="4125" width="5.28515625" style="1" customWidth="1"/>
    <col min="4126" max="4128" width="4.7109375" style="1" customWidth="1"/>
    <col min="4129" max="4129" width="11.7109375" style="1" customWidth="1"/>
    <col min="4130" max="4130" width="10" style="1" customWidth="1"/>
    <col min="4131" max="4131" width="7.42578125" style="1" customWidth="1"/>
    <col min="4132" max="4132" width="7.140625" style="1" customWidth="1"/>
    <col min="4133" max="4133" width="6.42578125" style="1" customWidth="1"/>
    <col min="4134" max="4364" width="8.7109375" style="1"/>
    <col min="4365" max="4365" width="3.7109375" style="1" customWidth="1"/>
    <col min="4366" max="4366" width="4.28515625" style="1" customWidth="1"/>
    <col min="4367" max="4367" width="11.28515625" style="1" customWidth="1"/>
    <col min="4368" max="4368" width="13.42578125" style="1" customWidth="1"/>
    <col min="4369" max="4371" width="5.42578125" style="1" customWidth="1"/>
    <col min="4372" max="4372" width="8.28515625" style="1" customWidth="1"/>
    <col min="4373" max="4375" width="4.7109375" style="1" customWidth="1"/>
    <col min="4376" max="4376" width="11.7109375" style="1" customWidth="1"/>
    <col min="4377" max="4378" width="7" style="1" customWidth="1"/>
    <col min="4379" max="4379" width="6.42578125" style="1" customWidth="1"/>
    <col min="4380" max="4380" width="15" style="1" customWidth="1"/>
    <col min="4381" max="4381" width="5.28515625" style="1" customWidth="1"/>
    <col min="4382" max="4384" width="4.7109375" style="1" customWidth="1"/>
    <col min="4385" max="4385" width="11.7109375" style="1" customWidth="1"/>
    <col min="4386" max="4386" width="10" style="1" customWidth="1"/>
    <col min="4387" max="4387" width="7.42578125" style="1" customWidth="1"/>
    <col min="4388" max="4388" width="7.140625" style="1" customWidth="1"/>
    <col min="4389" max="4389" width="6.42578125" style="1" customWidth="1"/>
    <col min="4390" max="4620" width="8.7109375" style="1"/>
    <col min="4621" max="4621" width="3.7109375" style="1" customWidth="1"/>
    <col min="4622" max="4622" width="4.28515625" style="1" customWidth="1"/>
    <col min="4623" max="4623" width="11.28515625" style="1" customWidth="1"/>
    <col min="4624" max="4624" width="13.42578125" style="1" customWidth="1"/>
    <col min="4625" max="4627" width="5.42578125" style="1" customWidth="1"/>
    <col min="4628" max="4628" width="8.28515625" style="1" customWidth="1"/>
    <col min="4629" max="4631" width="4.7109375" style="1" customWidth="1"/>
    <col min="4632" max="4632" width="11.7109375" style="1" customWidth="1"/>
    <col min="4633" max="4634" width="7" style="1" customWidth="1"/>
    <col min="4635" max="4635" width="6.42578125" style="1" customWidth="1"/>
    <col min="4636" max="4636" width="15" style="1" customWidth="1"/>
    <col min="4637" max="4637" width="5.28515625" style="1" customWidth="1"/>
    <col min="4638" max="4640" width="4.7109375" style="1" customWidth="1"/>
    <col min="4641" max="4641" width="11.7109375" style="1" customWidth="1"/>
    <col min="4642" max="4642" width="10" style="1" customWidth="1"/>
    <col min="4643" max="4643" width="7.42578125" style="1" customWidth="1"/>
    <col min="4644" max="4644" width="7.140625" style="1" customWidth="1"/>
    <col min="4645" max="4645" width="6.42578125" style="1" customWidth="1"/>
    <col min="4646" max="4876" width="8.7109375" style="1"/>
    <col min="4877" max="4877" width="3.7109375" style="1" customWidth="1"/>
    <col min="4878" max="4878" width="4.28515625" style="1" customWidth="1"/>
    <col min="4879" max="4879" width="11.28515625" style="1" customWidth="1"/>
    <col min="4880" max="4880" width="13.42578125" style="1" customWidth="1"/>
    <col min="4881" max="4883" width="5.42578125" style="1" customWidth="1"/>
    <col min="4884" max="4884" width="8.28515625" style="1" customWidth="1"/>
    <col min="4885" max="4887" width="4.7109375" style="1" customWidth="1"/>
    <col min="4888" max="4888" width="11.7109375" style="1" customWidth="1"/>
    <col min="4889" max="4890" width="7" style="1" customWidth="1"/>
    <col min="4891" max="4891" width="6.42578125" style="1" customWidth="1"/>
    <col min="4892" max="4892" width="15" style="1" customWidth="1"/>
    <col min="4893" max="4893" width="5.28515625" style="1" customWidth="1"/>
    <col min="4894" max="4896" width="4.7109375" style="1" customWidth="1"/>
    <col min="4897" max="4897" width="11.7109375" style="1" customWidth="1"/>
    <col min="4898" max="4898" width="10" style="1" customWidth="1"/>
    <col min="4899" max="4899" width="7.42578125" style="1" customWidth="1"/>
    <col min="4900" max="4900" width="7.140625" style="1" customWidth="1"/>
    <col min="4901" max="4901" width="6.42578125" style="1" customWidth="1"/>
    <col min="4902" max="5132" width="8.7109375" style="1"/>
    <col min="5133" max="5133" width="3.7109375" style="1" customWidth="1"/>
    <col min="5134" max="5134" width="4.28515625" style="1" customWidth="1"/>
    <col min="5135" max="5135" width="11.28515625" style="1" customWidth="1"/>
    <col min="5136" max="5136" width="13.42578125" style="1" customWidth="1"/>
    <col min="5137" max="5139" width="5.42578125" style="1" customWidth="1"/>
    <col min="5140" max="5140" width="8.28515625" style="1" customWidth="1"/>
    <col min="5141" max="5143" width="4.7109375" style="1" customWidth="1"/>
    <col min="5144" max="5144" width="11.7109375" style="1" customWidth="1"/>
    <col min="5145" max="5146" width="7" style="1" customWidth="1"/>
    <col min="5147" max="5147" width="6.42578125" style="1" customWidth="1"/>
    <col min="5148" max="5148" width="15" style="1" customWidth="1"/>
    <col min="5149" max="5149" width="5.28515625" style="1" customWidth="1"/>
    <col min="5150" max="5152" width="4.7109375" style="1" customWidth="1"/>
    <col min="5153" max="5153" width="11.7109375" style="1" customWidth="1"/>
    <col min="5154" max="5154" width="10" style="1" customWidth="1"/>
    <col min="5155" max="5155" width="7.42578125" style="1" customWidth="1"/>
    <col min="5156" max="5156" width="7.140625" style="1" customWidth="1"/>
    <col min="5157" max="5157" width="6.42578125" style="1" customWidth="1"/>
    <col min="5158" max="5388" width="8.7109375" style="1"/>
    <col min="5389" max="5389" width="3.7109375" style="1" customWidth="1"/>
    <col min="5390" max="5390" width="4.28515625" style="1" customWidth="1"/>
    <col min="5391" max="5391" width="11.28515625" style="1" customWidth="1"/>
    <col min="5392" max="5392" width="13.42578125" style="1" customWidth="1"/>
    <col min="5393" max="5395" width="5.42578125" style="1" customWidth="1"/>
    <col min="5396" max="5396" width="8.28515625" style="1" customWidth="1"/>
    <col min="5397" max="5399" width="4.7109375" style="1" customWidth="1"/>
    <col min="5400" max="5400" width="11.7109375" style="1" customWidth="1"/>
    <col min="5401" max="5402" width="7" style="1" customWidth="1"/>
    <col min="5403" max="5403" width="6.42578125" style="1" customWidth="1"/>
    <col min="5404" max="5404" width="15" style="1" customWidth="1"/>
    <col min="5405" max="5405" width="5.28515625" style="1" customWidth="1"/>
    <col min="5406" max="5408" width="4.7109375" style="1" customWidth="1"/>
    <col min="5409" max="5409" width="11.7109375" style="1" customWidth="1"/>
    <col min="5410" max="5410" width="10" style="1" customWidth="1"/>
    <col min="5411" max="5411" width="7.42578125" style="1" customWidth="1"/>
    <col min="5412" max="5412" width="7.140625" style="1" customWidth="1"/>
    <col min="5413" max="5413" width="6.42578125" style="1" customWidth="1"/>
    <col min="5414" max="5644" width="8.7109375" style="1"/>
    <col min="5645" max="5645" width="3.7109375" style="1" customWidth="1"/>
    <col min="5646" max="5646" width="4.28515625" style="1" customWidth="1"/>
    <col min="5647" max="5647" width="11.28515625" style="1" customWidth="1"/>
    <col min="5648" max="5648" width="13.42578125" style="1" customWidth="1"/>
    <col min="5649" max="5651" width="5.42578125" style="1" customWidth="1"/>
    <col min="5652" max="5652" width="8.28515625" style="1" customWidth="1"/>
    <col min="5653" max="5655" width="4.7109375" style="1" customWidth="1"/>
    <col min="5656" max="5656" width="11.7109375" style="1" customWidth="1"/>
    <col min="5657" max="5658" width="7" style="1" customWidth="1"/>
    <col min="5659" max="5659" width="6.42578125" style="1" customWidth="1"/>
    <col min="5660" max="5660" width="15" style="1" customWidth="1"/>
    <col min="5661" max="5661" width="5.28515625" style="1" customWidth="1"/>
    <col min="5662" max="5664" width="4.7109375" style="1" customWidth="1"/>
    <col min="5665" max="5665" width="11.7109375" style="1" customWidth="1"/>
    <col min="5666" max="5666" width="10" style="1" customWidth="1"/>
    <col min="5667" max="5667" width="7.42578125" style="1" customWidth="1"/>
    <col min="5668" max="5668" width="7.140625" style="1" customWidth="1"/>
    <col min="5669" max="5669" width="6.42578125" style="1" customWidth="1"/>
    <col min="5670" max="5900" width="8.7109375" style="1"/>
    <col min="5901" max="5901" width="3.7109375" style="1" customWidth="1"/>
    <col min="5902" max="5902" width="4.28515625" style="1" customWidth="1"/>
    <col min="5903" max="5903" width="11.28515625" style="1" customWidth="1"/>
    <col min="5904" max="5904" width="13.42578125" style="1" customWidth="1"/>
    <col min="5905" max="5907" width="5.42578125" style="1" customWidth="1"/>
    <col min="5908" max="5908" width="8.28515625" style="1" customWidth="1"/>
    <col min="5909" max="5911" width="4.7109375" style="1" customWidth="1"/>
    <col min="5912" max="5912" width="11.7109375" style="1" customWidth="1"/>
    <col min="5913" max="5914" width="7" style="1" customWidth="1"/>
    <col min="5915" max="5915" width="6.42578125" style="1" customWidth="1"/>
    <col min="5916" max="5916" width="15" style="1" customWidth="1"/>
    <col min="5917" max="5917" width="5.28515625" style="1" customWidth="1"/>
    <col min="5918" max="5920" width="4.7109375" style="1" customWidth="1"/>
    <col min="5921" max="5921" width="11.7109375" style="1" customWidth="1"/>
    <col min="5922" max="5922" width="10" style="1" customWidth="1"/>
    <col min="5923" max="5923" width="7.42578125" style="1" customWidth="1"/>
    <col min="5924" max="5924" width="7.140625" style="1" customWidth="1"/>
    <col min="5925" max="5925" width="6.42578125" style="1" customWidth="1"/>
    <col min="5926" max="6156" width="8.7109375" style="1"/>
    <col min="6157" max="6157" width="3.7109375" style="1" customWidth="1"/>
    <col min="6158" max="6158" width="4.28515625" style="1" customWidth="1"/>
    <col min="6159" max="6159" width="11.28515625" style="1" customWidth="1"/>
    <col min="6160" max="6160" width="13.42578125" style="1" customWidth="1"/>
    <col min="6161" max="6163" width="5.42578125" style="1" customWidth="1"/>
    <col min="6164" max="6164" width="8.28515625" style="1" customWidth="1"/>
    <col min="6165" max="6167" width="4.7109375" style="1" customWidth="1"/>
    <col min="6168" max="6168" width="11.7109375" style="1" customWidth="1"/>
    <col min="6169" max="6170" width="7" style="1" customWidth="1"/>
    <col min="6171" max="6171" width="6.42578125" style="1" customWidth="1"/>
    <col min="6172" max="6172" width="15" style="1" customWidth="1"/>
    <col min="6173" max="6173" width="5.28515625" style="1" customWidth="1"/>
    <col min="6174" max="6176" width="4.7109375" style="1" customWidth="1"/>
    <col min="6177" max="6177" width="11.7109375" style="1" customWidth="1"/>
    <col min="6178" max="6178" width="10" style="1" customWidth="1"/>
    <col min="6179" max="6179" width="7.42578125" style="1" customWidth="1"/>
    <col min="6180" max="6180" width="7.140625" style="1" customWidth="1"/>
    <col min="6181" max="6181" width="6.42578125" style="1" customWidth="1"/>
    <col min="6182" max="6412" width="8.7109375" style="1"/>
    <col min="6413" max="6413" width="3.7109375" style="1" customWidth="1"/>
    <col min="6414" max="6414" width="4.28515625" style="1" customWidth="1"/>
    <col min="6415" max="6415" width="11.28515625" style="1" customWidth="1"/>
    <col min="6416" max="6416" width="13.42578125" style="1" customWidth="1"/>
    <col min="6417" max="6419" width="5.42578125" style="1" customWidth="1"/>
    <col min="6420" max="6420" width="8.28515625" style="1" customWidth="1"/>
    <col min="6421" max="6423" width="4.7109375" style="1" customWidth="1"/>
    <col min="6424" max="6424" width="11.7109375" style="1" customWidth="1"/>
    <col min="6425" max="6426" width="7" style="1" customWidth="1"/>
    <col min="6427" max="6427" width="6.42578125" style="1" customWidth="1"/>
    <col min="6428" max="6428" width="15" style="1" customWidth="1"/>
    <col min="6429" max="6429" width="5.28515625" style="1" customWidth="1"/>
    <col min="6430" max="6432" width="4.7109375" style="1" customWidth="1"/>
    <col min="6433" max="6433" width="11.7109375" style="1" customWidth="1"/>
    <col min="6434" max="6434" width="10" style="1" customWidth="1"/>
    <col min="6435" max="6435" width="7.42578125" style="1" customWidth="1"/>
    <col min="6436" max="6436" width="7.140625" style="1" customWidth="1"/>
    <col min="6437" max="6437" width="6.42578125" style="1" customWidth="1"/>
    <col min="6438" max="6668" width="8.7109375" style="1"/>
    <col min="6669" max="6669" width="3.7109375" style="1" customWidth="1"/>
    <col min="6670" max="6670" width="4.28515625" style="1" customWidth="1"/>
    <col min="6671" max="6671" width="11.28515625" style="1" customWidth="1"/>
    <col min="6672" max="6672" width="13.42578125" style="1" customWidth="1"/>
    <col min="6673" max="6675" width="5.42578125" style="1" customWidth="1"/>
    <col min="6676" max="6676" width="8.28515625" style="1" customWidth="1"/>
    <col min="6677" max="6679" width="4.7109375" style="1" customWidth="1"/>
    <col min="6680" max="6680" width="11.7109375" style="1" customWidth="1"/>
    <col min="6681" max="6682" width="7" style="1" customWidth="1"/>
    <col min="6683" max="6683" width="6.42578125" style="1" customWidth="1"/>
    <col min="6684" max="6684" width="15" style="1" customWidth="1"/>
    <col min="6685" max="6685" width="5.28515625" style="1" customWidth="1"/>
    <col min="6686" max="6688" width="4.7109375" style="1" customWidth="1"/>
    <col min="6689" max="6689" width="11.7109375" style="1" customWidth="1"/>
    <col min="6690" max="6690" width="10" style="1" customWidth="1"/>
    <col min="6691" max="6691" width="7.42578125" style="1" customWidth="1"/>
    <col min="6692" max="6692" width="7.140625" style="1" customWidth="1"/>
    <col min="6693" max="6693" width="6.42578125" style="1" customWidth="1"/>
    <col min="6694" max="6924" width="8.7109375" style="1"/>
    <col min="6925" max="6925" width="3.7109375" style="1" customWidth="1"/>
    <col min="6926" max="6926" width="4.28515625" style="1" customWidth="1"/>
    <col min="6927" max="6927" width="11.28515625" style="1" customWidth="1"/>
    <col min="6928" max="6928" width="13.42578125" style="1" customWidth="1"/>
    <col min="6929" max="6931" width="5.42578125" style="1" customWidth="1"/>
    <col min="6932" max="6932" width="8.28515625" style="1" customWidth="1"/>
    <col min="6933" max="6935" width="4.7109375" style="1" customWidth="1"/>
    <col min="6936" max="6936" width="11.7109375" style="1" customWidth="1"/>
    <col min="6937" max="6938" width="7" style="1" customWidth="1"/>
    <col min="6939" max="6939" width="6.42578125" style="1" customWidth="1"/>
    <col min="6940" max="6940" width="15" style="1" customWidth="1"/>
    <col min="6941" max="6941" width="5.28515625" style="1" customWidth="1"/>
    <col min="6942" max="6944" width="4.7109375" style="1" customWidth="1"/>
    <col min="6945" max="6945" width="11.7109375" style="1" customWidth="1"/>
    <col min="6946" max="6946" width="10" style="1" customWidth="1"/>
    <col min="6947" max="6947" width="7.42578125" style="1" customWidth="1"/>
    <col min="6948" max="6948" width="7.140625" style="1" customWidth="1"/>
    <col min="6949" max="6949" width="6.42578125" style="1" customWidth="1"/>
    <col min="6950" max="7180" width="8.7109375" style="1"/>
    <col min="7181" max="7181" width="3.7109375" style="1" customWidth="1"/>
    <col min="7182" max="7182" width="4.28515625" style="1" customWidth="1"/>
    <col min="7183" max="7183" width="11.28515625" style="1" customWidth="1"/>
    <col min="7184" max="7184" width="13.42578125" style="1" customWidth="1"/>
    <col min="7185" max="7187" width="5.42578125" style="1" customWidth="1"/>
    <col min="7188" max="7188" width="8.28515625" style="1" customWidth="1"/>
    <col min="7189" max="7191" width="4.7109375" style="1" customWidth="1"/>
    <col min="7192" max="7192" width="11.7109375" style="1" customWidth="1"/>
    <col min="7193" max="7194" width="7" style="1" customWidth="1"/>
    <col min="7195" max="7195" width="6.42578125" style="1" customWidth="1"/>
    <col min="7196" max="7196" width="15" style="1" customWidth="1"/>
    <col min="7197" max="7197" width="5.28515625" style="1" customWidth="1"/>
    <col min="7198" max="7200" width="4.7109375" style="1" customWidth="1"/>
    <col min="7201" max="7201" width="11.7109375" style="1" customWidth="1"/>
    <col min="7202" max="7202" width="10" style="1" customWidth="1"/>
    <col min="7203" max="7203" width="7.42578125" style="1" customWidth="1"/>
    <col min="7204" max="7204" width="7.140625" style="1" customWidth="1"/>
    <col min="7205" max="7205" width="6.42578125" style="1" customWidth="1"/>
    <col min="7206" max="7436" width="8.7109375" style="1"/>
    <col min="7437" max="7437" width="3.7109375" style="1" customWidth="1"/>
    <col min="7438" max="7438" width="4.28515625" style="1" customWidth="1"/>
    <col min="7439" max="7439" width="11.28515625" style="1" customWidth="1"/>
    <col min="7440" max="7440" width="13.42578125" style="1" customWidth="1"/>
    <col min="7441" max="7443" width="5.42578125" style="1" customWidth="1"/>
    <col min="7444" max="7444" width="8.28515625" style="1" customWidth="1"/>
    <col min="7445" max="7447" width="4.7109375" style="1" customWidth="1"/>
    <col min="7448" max="7448" width="11.7109375" style="1" customWidth="1"/>
    <col min="7449" max="7450" width="7" style="1" customWidth="1"/>
    <col min="7451" max="7451" width="6.42578125" style="1" customWidth="1"/>
    <col min="7452" max="7452" width="15" style="1" customWidth="1"/>
    <col min="7453" max="7453" width="5.28515625" style="1" customWidth="1"/>
    <col min="7454" max="7456" width="4.7109375" style="1" customWidth="1"/>
    <col min="7457" max="7457" width="11.7109375" style="1" customWidth="1"/>
    <col min="7458" max="7458" width="10" style="1" customWidth="1"/>
    <col min="7459" max="7459" width="7.42578125" style="1" customWidth="1"/>
    <col min="7460" max="7460" width="7.140625" style="1" customWidth="1"/>
    <col min="7461" max="7461" width="6.42578125" style="1" customWidth="1"/>
    <col min="7462" max="7692" width="8.7109375" style="1"/>
    <col min="7693" max="7693" width="3.7109375" style="1" customWidth="1"/>
    <col min="7694" max="7694" width="4.28515625" style="1" customWidth="1"/>
    <col min="7695" max="7695" width="11.28515625" style="1" customWidth="1"/>
    <col min="7696" max="7696" width="13.42578125" style="1" customWidth="1"/>
    <col min="7697" max="7699" width="5.42578125" style="1" customWidth="1"/>
    <col min="7700" max="7700" width="8.28515625" style="1" customWidth="1"/>
    <col min="7701" max="7703" width="4.7109375" style="1" customWidth="1"/>
    <col min="7704" max="7704" width="11.7109375" style="1" customWidth="1"/>
    <col min="7705" max="7706" width="7" style="1" customWidth="1"/>
    <col min="7707" max="7707" width="6.42578125" style="1" customWidth="1"/>
    <col min="7708" max="7708" width="15" style="1" customWidth="1"/>
    <col min="7709" max="7709" width="5.28515625" style="1" customWidth="1"/>
    <col min="7710" max="7712" width="4.7109375" style="1" customWidth="1"/>
    <col min="7713" max="7713" width="11.7109375" style="1" customWidth="1"/>
    <col min="7714" max="7714" width="10" style="1" customWidth="1"/>
    <col min="7715" max="7715" width="7.42578125" style="1" customWidth="1"/>
    <col min="7716" max="7716" width="7.140625" style="1" customWidth="1"/>
    <col min="7717" max="7717" width="6.42578125" style="1" customWidth="1"/>
    <col min="7718" max="7948" width="8.7109375" style="1"/>
    <col min="7949" max="7949" width="3.7109375" style="1" customWidth="1"/>
    <col min="7950" max="7950" width="4.28515625" style="1" customWidth="1"/>
    <col min="7951" max="7951" width="11.28515625" style="1" customWidth="1"/>
    <col min="7952" max="7952" width="13.42578125" style="1" customWidth="1"/>
    <col min="7953" max="7955" width="5.42578125" style="1" customWidth="1"/>
    <col min="7956" max="7956" width="8.28515625" style="1" customWidth="1"/>
    <col min="7957" max="7959" width="4.7109375" style="1" customWidth="1"/>
    <col min="7960" max="7960" width="11.7109375" style="1" customWidth="1"/>
    <col min="7961" max="7962" width="7" style="1" customWidth="1"/>
    <col min="7963" max="7963" width="6.42578125" style="1" customWidth="1"/>
    <col min="7964" max="7964" width="15" style="1" customWidth="1"/>
    <col min="7965" max="7965" width="5.28515625" style="1" customWidth="1"/>
    <col min="7966" max="7968" width="4.7109375" style="1" customWidth="1"/>
    <col min="7969" max="7969" width="11.7109375" style="1" customWidth="1"/>
    <col min="7970" max="7970" width="10" style="1" customWidth="1"/>
    <col min="7971" max="7971" width="7.42578125" style="1" customWidth="1"/>
    <col min="7972" max="7972" width="7.140625" style="1" customWidth="1"/>
    <col min="7973" max="7973" width="6.42578125" style="1" customWidth="1"/>
    <col min="7974" max="8204" width="8.7109375" style="1"/>
    <col min="8205" max="8205" width="3.7109375" style="1" customWidth="1"/>
    <col min="8206" max="8206" width="4.28515625" style="1" customWidth="1"/>
    <col min="8207" max="8207" width="11.28515625" style="1" customWidth="1"/>
    <col min="8208" max="8208" width="13.42578125" style="1" customWidth="1"/>
    <col min="8209" max="8211" width="5.42578125" style="1" customWidth="1"/>
    <col min="8212" max="8212" width="8.28515625" style="1" customWidth="1"/>
    <col min="8213" max="8215" width="4.7109375" style="1" customWidth="1"/>
    <col min="8216" max="8216" width="11.7109375" style="1" customWidth="1"/>
    <col min="8217" max="8218" width="7" style="1" customWidth="1"/>
    <col min="8219" max="8219" width="6.42578125" style="1" customWidth="1"/>
    <col min="8220" max="8220" width="15" style="1" customWidth="1"/>
    <col min="8221" max="8221" width="5.28515625" style="1" customWidth="1"/>
    <col min="8222" max="8224" width="4.7109375" style="1" customWidth="1"/>
    <col min="8225" max="8225" width="11.7109375" style="1" customWidth="1"/>
    <col min="8226" max="8226" width="10" style="1" customWidth="1"/>
    <col min="8227" max="8227" width="7.42578125" style="1" customWidth="1"/>
    <col min="8228" max="8228" width="7.140625" style="1" customWidth="1"/>
    <col min="8229" max="8229" width="6.42578125" style="1" customWidth="1"/>
    <col min="8230" max="8460" width="8.7109375" style="1"/>
    <col min="8461" max="8461" width="3.7109375" style="1" customWidth="1"/>
    <col min="8462" max="8462" width="4.28515625" style="1" customWidth="1"/>
    <col min="8463" max="8463" width="11.28515625" style="1" customWidth="1"/>
    <col min="8464" max="8464" width="13.42578125" style="1" customWidth="1"/>
    <col min="8465" max="8467" width="5.42578125" style="1" customWidth="1"/>
    <col min="8468" max="8468" width="8.28515625" style="1" customWidth="1"/>
    <col min="8469" max="8471" width="4.7109375" style="1" customWidth="1"/>
    <col min="8472" max="8472" width="11.7109375" style="1" customWidth="1"/>
    <col min="8473" max="8474" width="7" style="1" customWidth="1"/>
    <col min="8475" max="8475" width="6.42578125" style="1" customWidth="1"/>
    <col min="8476" max="8476" width="15" style="1" customWidth="1"/>
    <col min="8477" max="8477" width="5.28515625" style="1" customWidth="1"/>
    <col min="8478" max="8480" width="4.7109375" style="1" customWidth="1"/>
    <col min="8481" max="8481" width="11.7109375" style="1" customWidth="1"/>
    <col min="8482" max="8482" width="10" style="1" customWidth="1"/>
    <col min="8483" max="8483" width="7.42578125" style="1" customWidth="1"/>
    <col min="8484" max="8484" width="7.140625" style="1" customWidth="1"/>
    <col min="8485" max="8485" width="6.42578125" style="1" customWidth="1"/>
    <col min="8486" max="8716" width="8.7109375" style="1"/>
    <col min="8717" max="8717" width="3.7109375" style="1" customWidth="1"/>
    <col min="8718" max="8718" width="4.28515625" style="1" customWidth="1"/>
    <col min="8719" max="8719" width="11.28515625" style="1" customWidth="1"/>
    <col min="8720" max="8720" width="13.42578125" style="1" customWidth="1"/>
    <col min="8721" max="8723" width="5.42578125" style="1" customWidth="1"/>
    <col min="8724" max="8724" width="8.28515625" style="1" customWidth="1"/>
    <col min="8725" max="8727" width="4.7109375" style="1" customWidth="1"/>
    <col min="8728" max="8728" width="11.7109375" style="1" customWidth="1"/>
    <col min="8729" max="8730" width="7" style="1" customWidth="1"/>
    <col min="8731" max="8731" width="6.42578125" style="1" customWidth="1"/>
    <col min="8732" max="8732" width="15" style="1" customWidth="1"/>
    <col min="8733" max="8733" width="5.28515625" style="1" customWidth="1"/>
    <col min="8734" max="8736" width="4.7109375" style="1" customWidth="1"/>
    <col min="8737" max="8737" width="11.7109375" style="1" customWidth="1"/>
    <col min="8738" max="8738" width="10" style="1" customWidth="1"/>
    <col min="8739" max="8739" width="7.42578125" style="1" customWidth="1"/>
    <col min="8740" max="8740" width="7.140625" style="1" customWidth="1"/>
    <col min="8741" max="8741" width="6.42578125" style="1" customWidth="1"/>
    <col min="8742" max="8972" width="8.7109375" style="1"/>
    <col min="8973" max="8973" width="3.7109375" style="1" customWidth="1"/>
    <col min="8974" max="8974" width="4.28515625" style="1" customWidth="1"/>
    <col min="8975" max="8975" width="11.28515625" style="1" customWidth="1"/>
    <col min="8976" max="8976" width="13.42578125" style="1" customWidth="1"/>
    <col min="8977" max="8979" width="5.42578125" style="1" customWidth="1"/>
    <col min="8980" max="8980" width="8.28515625" style="1" customWidth="1"/>
    <col min="8981" max="8983" width="4.7109375" style="1" customWidth="1"/>
    <col min="8984" max="8984" width="11.7109375" style="1" customWidth="1"/>
    <col min="8985" max="8986" width="7" style="1" customWidth="1"/>
    <col min="8987" max="8987" width="6.42578125" style="1" customWidth="1"/>
    <col min="8988" max="8988" width="15" style="1" customWidth="1"/>
    <col min="8989" max="8989" width="5.28515625" style="1" customWidth="1"/>
    <col min="8990" max="8992" width="4.7109375" style="1" customWidth="1"/>
    <col min="8993" max="8993" width="11.7109375" style="1" customWidth="1"/>
    <col min="8994" max="8994" width="10" style="1" customWidth="1"/>
    <col min="8995" max="8995" width="7.42578125" style="1" customWidth="1"/>
    <col min="8996" max="8996" width="7.140625" style="1" customWidth="1"/>
    <col min="8997" max="8997" width="6.42578125" style="1" customWidth="1"/>
    <col min="8998" max="9228" width="8.7109375" style="1"/>
    <col min="9229" max="9229" width="3.7109375" style="1" customWidth="1"/>
    <col min="9230" max="9230" width="4.28515625" style="1" customWidth="1"/>
    <col min="9231" max="9231" width="11.28515625" style="1" customWidth="1"/>
    <col min="9232" max="9232" width="13.42578125" style="1" customWidth="1"/>
    <col min="9233" max="9235" width="5.42578125" style="1" customWidth="1"/>
    <col min="9236" max="9236" width="8.28515625" style="1" customWidth="1"/>
    <col min="9237" max="9239" width="4.7109375" style="1" customWidth="1"/>
    <col min="9240" max="9240" width="11.7109375" style="1" customWidth="1"/>
    <col min="9241" max="9242" width="7" style="1" customWidth="1"/>
    <col min="9243" max="9243" width="6.42578125" style="1" customWidth="1"/>
    <col min="9244" max="9244" width="15" style="1" customWidth="1"/>
    <col min="9245" max="9245" width="5.28515625" style="1" customWidth="1"/>
    <col min="9246" max="9248" width="4.7109375" style="1" customWidth="1"/>
    <col min="9249" max="9249" width="11.7109375" style="1" customWidth="1"/>
    <col min="9250" max="9250" width="10" style="1" customWidth="1"/>
    <col min="9251" max="9251" width="7.42578125" style="1" customWidth="1"/>
    <col min="9252" max="9252" width="7.140625" style="1" customWidth="1"/>
    <col min="9253" max="9253" width="6.42578125" style="1" customWidth="1"/>
    <col min="9254" max="9484" width="8.7109375" style="1"/>
    <col min="9485" max="9485" width="3.7109375" style="1" customWidth="1"/>
    <col min="9486" max="9486" width="4.28515625" style="1" customWidth="1"/>
    <col min="9487" max="9487" width="11.28515625" style="1" customWidth="1"/>
    <col min="9488" max="9488" width="13.42578125" style="1" customWidth="1"/>
    <col min="9489" max="9491" width="5.42578125" style="1" customWidth="1"/>
    <col min="9492" max="9492" width="8.28515625" style="1" customWidth="1"/>
    <col min="9493" max="9495" width="4.7109375" style="1" customWidth="1"/>
    <col min="9496" max="9496" width="11.7109375" style="1" customWidth="1"/>
    <col min="9497" max="9498" width="7" style="1" customWidth="1"/>
    <col min="9499" max="9499" width="6.42578125" style="1" customWidth="1"/>
    <col min="9500" max="9500" width="15" style="1" customWidth="1"/>
    <col min="9501" max="9501" width="5.28515625" style="1" customWidth="1"/>
    <col min="9502" max="9504" width="4.7109375" style="1" customWidth="1"/>
    <col min="9505" max="9505" width="11.7109375" style="1" customWidth="1"/>
    <col min="9506" max="9506" width="10" style="1" customWidth="1"/>
    <col min="9507" max="9507" width="7.42578125" style="1" customWidth="1"/>
    <col min="9508" max="9508" width="7.140625" style="1" customWidth="1"/>
    <col min="9509" max="9509" width="6.42578125" style="1" customWidth="1"/>
    <col min="9510" max="9740" width="8.7109375" style="1"/>
    <col min="9741" max="9741" width="3.7109375" style="1" customWidth="1"/>
    <col min="9742" max="9742" width="4.28515625" style="1" customWidth="1"/>
    <col min="9743" max="9743" width="11.28515625" style="1" customWidth="1"/>
    <col min="9744" max="9744" width="13.42578125" style="1" customWidth="1"/>
    <col min="9745" max="9747" width="5.42578125" style="1" customWidth="1"/>
    <col min="9748" max="9748" width="8.28515625" style="1" customWidth="1"/>
    <col min="9749" max="9751" width="4.7109375" style="1" customWidth="1"/>
    <col min="9752" max="9752" width="11.7109375" style="1" customWidth="1"/>
    <col min="9753" max="9754" width="7" style="1" customWidth="1"/>
    <col min="9755" max="9755" width="6.42578125" style="1" customWidth="1"/>
    <col min="9756" max="9756" width="15" style="1" customWidth="1"/>
    <col min="9757" max="9757" width="5.28515625" style="1" customWidth="1"/>
    <col min="9758" max="9760" width="4.7109375" style="1" customWidth="1"/>
    <col min="9761" max="9761" width="11.7109375" style="1" customWidth="1"/>
    <col min="9762" max="9762" width="10" style="1" customWidth="1"/>
    <col min="9763" max="9763" width="7.42578125" style="1" customWidth="1"/>
    <col min="9764" max="9764" width="7.140625" style="1" customWidth="1"/>
    <col min="9765" max="9765" width="6.42578125" style="1" customWidth="1"/>
    <col min="9766" max="9996" width="8.7109375" style="1"/>
    <col min="9997" max="9997" width="3.7109375" style="1" customWidth="1"/>
    <col min="9998" max="9998" width="4.28515625" style="1" customWidth="1"/>
    <col min="9999" max="9999" width="11.28515625" style="1" customWidth="1"/>
    <col min="10000" max="10000" width="13.42578125" style="1" customWidth="1"/>
    <col min="10001" max="10003" width="5.42578125" style="1" customWidth="1"/>
    <col min="10004" max="10004" width="8.28515625" style="1" customWidth="1"/>
    <col min="10005" max="10007" width="4.7109375" style="1" customWidth="1"/>
    <col min="10008" max="10008" width="11.7109375" style="1" customWidth="1"/>
    <col min="10009" max="10010" width="7" style="1" customWidth="1"/>
    <col min="10011" max="10011" width="6.42578125" style="1" customWidth="1"/>
    <col min="10012" max="10012" width="15" style="1" customWidth="1"/>
    <col min="10013" max="10013" width="5.28515625" style="1" customWidth="1"/>
    <col min="10014" max="10016" width="4.7109375" style="1" customWidth="1"/>
    <col min="10017" max="10017" width="11.7109375" style="1" customWidth="1"/>
    <col min="10018" max="10018" width="10" style="1" customWidth="1"/>
    <col min="10019" max="10019" width="7.42578125" style="1" customWidth="1"/>
    <col min="10020" max="10020" width="7.140625" style="1" customWidth="1"/>
    <col min="10021" max="10021" width="6.42578125" style="1" customWidth="1"/>
    <col min="10022" max="10252" width="8.7109375" style="1"/>
    <col min="10253" max="10253" width="3.7109375" style="1" customWidth="1"/>
    <col min="10254" max="10254" width="4.28515625" style="1" customWidth="1"/>
    <col min="10255" max="10255" width="11.28515625" style="1" customWidth="1"/>
    <col min="10256" max="10256" width="13.42578125" style="1" customWidth="1"/>
    <col min="10257" max="10259" width="5.42578125" style="1" customWidth="1"/>
    <col min="10260" max="10260" width="8.28515625" style="1" customWidth="1"/>
    <col min="10261" max="10263" width="4.7109375" style="1" customWidth="1"/>
    <col min="10264" max="10264" width="11.7109375" style="1" customWidth="1"/>
    <col min="10265" max="10266" width="7" style="1" customWidth="1"/>
    <col min="10267" max="10267" width="6.42578125" style="1" customWidth="1"/>
    <col min="10268" max="10268" width="15" style="1" customWidth="1"/>
    <col min="10269" max="10269" width="5.28515625" style="1" customWidth="1"/>
    <col min="10270" max="10272" width="4.7109375" style="1" customWidth="1"/>
    <col min="10273" max="10273" width="11.7109375" style="1" customWidth="1"/>
    <col min="10274" max="10274" width="10" style="1" customWidth="1"/>
    <col min="10275" max="10275" width="7.42578125" style="1" customWidth="1"/>
    <col min="10276" max="10276" width="7.140625" style="1" customWidth="1"/>
    <col min="10277" max="10277" width="6.42578125" style="1" customWidth="1"/>
    <col min="10278" max="10508" width="8.7109375" style="1"/>
    <col min="10509" max="10509" width="3.7109375" style="1" customWidth="1"/>
    <col min="10510" max="10510" width="4.28515625" style="1" customWidth="1"/>
    <col min="10511" max="10511" width="11.28515625" style="1" customWidth="1"/>
    <col min="10512" max="10512" width="13.42578125" style="1" customWidth="1"/>
    <col min="10513" max="10515" width="5.42578125" style="1" customWidth="1"/>
    <col min="10516" max="10516" width="8.28515625" style="1" customWidth="1"/>
    <col min="10517" max="10519" width="4.7109375" style="1" customWidth="1"/>
    <col min="10520" max="10520" width="11.7109375" style="1" customWidth="1"/>
    <col min="10521" max="10522" width="7" style="1" customWidth="1"/>
    <col min="10523" max="10523" width="6.42578125" style="1" customWidth="1"/>
    <col min="10524" max="10524" width="15" style="1" customWidth="1"/>
    <col min="10525" max="10525" width="5.28515625" style="1" customWidth="1"/>
    <col min="10526" max="10528" width="4.7109375" style="1" customWidth="1"/>
    <col min="10529" max="10529" width="11.7109375" style="1" customWidth="1"/>
    <col min="10530" max="10530" width="10" style="1" customWidth="1"/>
    <col min="10531" max="10531" width="7.42578125" style="1" customWidth="1"/>
    <col min="10532" max="10532" width="7.140625" style="1" customWidth="1"/>
    <col min="10533" max="10533" width="6.42578125" style="1" customWidth="1"/>
    <col min="10534" max="10764" width="8.7109375" style="1"/>
    <col min="10765" max="10765" width="3.7109375" style="1" customWidth="1"/>
    <col min="10766" max="10766" width="4.28515625" style="1" customWidth="1"/>
    <col min="10767" max="10767" width="11.28515625" style="1" customWidth="1"/>
    <col min="10768" max="10768" width="13.42578125" style="1" customWidth="1"/>
    <col min="10769" max="10771" width="5.42578125" style="1" customWidth="1"/>
    <col min="10772" max="10772" width="8.28515625" style="1" customWidth="1"/>
    <col min="10773" max="10775" width="4.7109375" style="1" customWidth="1"/>
    <col min="10776" max="10776" width="11.7109375" style="1" customWidth="1"/>
    <col min="10777" max="10778" width="7" style="1" customWidth="1"/>
    <col min="10779" max="10779" width="6.42578125" style="1" customWidth="1"/>
    <col min="10780" max="10780" width="15" style="1" customWidth="1"/>
    <col min="10781" max="10781" width="5.28515625" style="1" customWidth="1"/>
    <col min="10782" max="10784" width="4.7109375" style="1" customWidth="1"/>
    <col min="10785" max="10785" width="11.7109375" style="1" customWidth="1"/>
    <col min="10786" max="10786" width="10" style="1" customWidth="1"/>
    <col min="10787" max="10787" width="7.42578125" style="1" customWidth="1"/>
    <col min="10788" max="10788" width="7.140625" style="1" customWidth="1"/>
    <col min="10789" max="10789" width="6.42578125" style="1" customWidth="1"/>
    <col min="10790" max="11020" width="8.7109375" style="1"/>
    <col min="11021" max="11021" width="3.7109375" style="1" customWidth="1"/>
    <col min="11022" max="11022" width="4.28515625" style="1" customWidth="1"/>
    <col min="11023" max="11023" width="11.28515625" style="1" customWidth="1"/>
    <col min="11024" max="11024" width="13.42578125" style="1" customWidth="1"/>
    <col min="11025" max="11027" width="5.42578125" style="1" customWidth="1"/>
    <col min="11028" max="11028" width="8.28515625" style="1" customWidth="1"/>
    <col min="11029" max="11031" width="4.7109375" style="1" customWidth="1"/>
    <col min="11032" max="11032" width="11.7109375" style="1" customWidth="1"/>
    <col min="11033" max="11034" width="7" style="1" customWidth="1"/>
    <col min="11035" max="11035" width="6.42578125" style="1" customWidth="1"/>
    <col min="11036" max="11036" width="15" style="1" customWidth="1"/>
    <col min="11037" max="11037" width="5.28515625" style="1" customWidth="1"/>
    <col min="11038" max="11040" width="4.7109375" style="1" customWidth="1"/>
    <col min="11041" max="11041" width="11.7109375" style="1" customWidth="1"/>
    <col min="11042" max="11042" width="10" style="1" customWidth="1"/>
    <col min="11043" max="11043" width="7.42578125" style="1" customWidth="1"/>
    <col min="11044" max="11044" width="7.140625" style="1" customWidth="1"/>
    <col min="11045" max="11045" width="6.42578125" style="1" customWidth="1"/>
    <col min="11046" max="11276" width="8.7109375" style="1"/>
    <col min="11277" max="11277" width="3.7109375" style="1" customWidth="1"/>
    <col min="11278" max="11278" width="4.28515625" style="1" customWidth="1"/>
    <col min="11279" max="11279" width="11.28515625" style="1" customWidth="1"/>
    <col min="11280" max="11280" width="13.42578125" style="1" customWidth="1"/>
    <col min="11281" max="11283" width="5.42578125" style="1" customWidth="1"/>
    <col min="11284" max="11284" width="8.28515625" style="1" customWidth="1"/>
    <col min="11285" max="11287" width="4.7109375" style="1" customWidth="1"/>
    <col min="11288" max="11288" width="11.7109375" style="1" customWidth="1"/>
    <col min="11289" max="11290" width="7" style="1" customWidth="1"/>
    <col min="11291" max="11291" width="6.42578125" style="1" customWidth="1"/>
    <col min="11292" max="11292" width="15" style="1" customWidth="1"/>
    <col min="11293" max="11293" width="5.28515625" style="1" customWidth="1"/>
    <col min="11294" max="11296" width="4.7109375" style="1" customWidth="1"/>
    <col min="11297" max="11297" width="11.7109375" style="1" customWidth="1"/>
    <col min="11298" max="11298" width="10" style="1" customWidth="1"/>
    <col min="11299" max="11299" width="7.42578125" style="1" customWidth="1"/>
    <col min="11300" max="11300" width="7.140625" style="1" customWidth="1"/>
    <col min="11301" max="11301" width="6.42578125" style="1" customWidth="1"/>
    <col min="11302" max="11532" width="8.7109375" style="1"/>
    <col min="11533" max="11533" width="3.7109375" style="1" customWidth="1"/>
    <col min="11534" max="11534" width="4.28515625" style="1" customWidth="1"/>
    <col min="11535" max="11535" width="11.28515625" style="1" customWidth="1"/>
    <col min="11536" max="11536" width="13.42578125" style="1" customWidth="1"/>
    <col min="11537" max="11539" width="5.42578125" style="1" customWidth="1"/>
    <col min="11540" max="11540" width="8.28515625" style="1" customWidth="1"/>
    <col min="11541" max="11543" width="4.7109375" style="1" customWidth="1"/>
    <col min="11544" max="11544" width="11.7109375" style="1" customWidth="1"/>
    <col min="11545" max="11546" width="7" style="1" customWidth="1"/>
    <col min="11547" max="11547" width="6.42578125" style="1" customWidth="1"/>
    <col min="11548" max="11548" width="15" style="1" customWidth="1"/>
    <col min="11549" max="11549" width="5.28515625" style="1" customWidth="1"/>
    <col min="11550" max="11552" width="4.7109375" style="1" customWidth="1"/>
    <col min="11553" max="11553" width="11.7109375" style="1" customWidth="1"/>
    <col min="11554" max="11554" width="10" style="1" customWidth="1"/>
    <col min="11555" max="11555" width="7.42578125" style="1" customWidth="1"/>
    <col min="11556" max="11556" width="7.140625" style="1" customWidth="1"/>
    <col min="11557" max="11557" width="6.42578125" style="1" customWidth="1"/>
    <col min="11558" max="11788" width="8.7109375" style="1"/>
    <col min="11789" max="11789" width="3.7109375" style="1" customWidth="1"/>
    <col min="11790" max="11790" width="4.28515625" style="1" customWidth="1"/>
    <col min="11791" max="11791" width="11.28515625" style="1" customWidth="1"/>
    <col min="11792" max="11792" width="13.42578125" style="1" customWidth="1"/>
    <col min="11793" max="11795" width="5.42578125" style="1" customWidth="1"/>
    <col min="11796" max="11796" width="8.28515625" style="1" customWidth="1"/>
    <col min="11797" max="11799" width="4.7109375" style="1" customWidth="1"/>
    <col min="11800" max="11800" width="11.7109375" style="1" customWidth="1"/>
    <col min="11801" max="11802" width="7" style="1" customWidth="1"/>
    <col min="11803" max="11803" width="6.42578125" style="1" customWidth="1"/>
    <col min="11804" max="11804" width="15" style="1" customWidth="1"/>
    <col min="11805" max="11805" width="5.28515625" style="1" customWidth="1"/>
    <col min="11806" max="11808" width="4.7109375" style="1" customWidth="1"/>
    <col min="11809" max="11809" width="11.7109375" style="1" customWidth="1"/>
    <col min="11810" max="11810" width="10" style="1" customWidth="1"/>
    <col min="11811" max="11811" width="7.42578125" style="1" customWidth="1"/>
    <col min="11812" max="11812" width="7.140625" style="1" customWidth="1"/>
    <col min="11813" max="11813" width="6.42578125" style="1" customWidth="1"/>
    <col min="11814" max="12044" width="8.7109375" style="1"/>
    <col min="12045" max="12045" width="3.7109375" style="1" customWidth="1"/>
    <col min="12046" max="12046" width="4.28515625" style="1" customWidth="1"/>
    <col min="12047" max="12047" width="11.28515625" style="1" customWidth="1"/>
    <col min="12048" max="12048" width="13.42578125" style="1" customWidth="1"/>
    <col min="12049" max="12051" width="5.42578125" style="1" customWidth="1"/>
    <col min="12052" max="12052" width="8.28515625" style="1" customWidth="1"/>
    <col min="12053" max="12055" width="4.7109375" style="1" customWidth="1"/>
    <col min="12056" max="12056" width="11.7109375" style="1" customWidth="1"/>
    <col min="12057" max="12058" width="7" style="1" customWidth="1"/>
    <col min="12059" max="12059" width="6.42578125" style="1" customWidth="1"/>
    <col min="12060" max="12060" width="15" style="1" customWidth="1"/>
    <col min="12061" max="12061" width="5.28515625" style="1" customWidth="1"/>
    <col min="12062" max="12064" width="4.7109375" style="1" customWidth="1"/>
    <col min="12065" max="12065" width="11.7109375" style="1" customWidth="1"/>
    <col min="12066" max="12066" width="10" style="1" customWidth="1"/>
    <col min="12067" max="12067" width="7.42578125" style="1" customWidth="1"/>
    <col min="12068" max="12068" width="7.140625" style="1" customWidth="1"/>
    <col min="12069" max="12069" width="6.42578125" style="1" customWidth="1"/>
    <col min="12070" max="12300" width="8.7109375" style="1"/>
    <col min="12301" max="12301" width="3.7109375" style="1" customWidth="1"/>
    <col min="12302" max="12302" width="4.28515625" style="1" customWidth="1"/>
    <col min="12303" max="12303" width="11.28515625" style="1" customWidth="1"/>
    <col min="12304" max="12304" width="13.42578125" style="1" customWidth="1"/>
    <col min="12305" max="12307" width="5.42578125" style="1" customWidth="1"/>
    <col min="12308" max="12308" width="8.28515625" style="1" customWidth="1"/>
    <col min="12309" max="12311" width="4.7109375" style="1" customWidth="1"/>
    <col min="12312" max="12312" width="11.7109375" style="1" customWidth="1"/>
    <col min="12313" max="12314" width="7" style="1" customWidth="1"/>
    <col min="12315" max="12315" width="6.42578125" style="1" customWidth="1"/>
    <col min="12316" max="12316" width="15" style="1" customWidth="1"/>
    <col min="12317" max="12317" width="5.28515625" style="1" customWidth="1"/>
    <col min="12318" max="12320" width="4.7109375" style="1" customWidth="1"/>
    <col min="12321" max="12321" width="11.7109375" style="1" customWidth="1"/>
    <col min="12322" max="12322" width="10" style="1" customWidth="1"/>
    <col min="12323" max="12323" width="7.42578125" style="1" customWidth="1"/>
    <col min="12324" max="12324" width="7.140625" style="1" customWidth="1"/>
    <col min="12325" max="12325" width="6.42578125" style="1" customWidth="1"/>
    <col min="12326" max="12556" width="8.7109375" style="1"/>
    <col min="12557" max="12557" width="3.7109375" style="1" customWidth="1"/>
    <col min="12558" max="12558" width="4.28515625" style="1" customWidth="1"/>
    <col min="12559" max="12559" width="11.28515625" style="1" customWidth="1"/>
    <col min="12560" max="12560" width="13.42578125" style="1" customWidth="1"/>
    <col min="12561" max="12563" width="5.42578125" style="1" customWidth="1"/>
    <col min="12564" max="12564" width="8.28515625" style="1" customWidth="1"/>
    <col min="12565" max="12567" width="4.7109375" style="1" customWidth="1"/>
    <col min="12568" max="12568" width="11.7109375" style="1" customWidth="1"/>
    <col min="12569" max="12570" width="7" style="1" customWidth="1"/>
    <col min="12571" max="12571" width="6.42578125" style="1" customWidth="1"/>
    <col min="12572" max="12572" width="15" style="1" customWidth="1"/>
    <col min="12573" max="12573" width="5.28515625" style="1" customWidth="1"/>
    <col min="12574" max="12576" width="4.7109375" style="1" customWidth="1"/>
    <col min="12577" max="12577" width="11.7109375" style="1" customWidth="1"/>
    <col min="12578" max="12578" width="10" style="1" customWidth="1"/>
    <col min="12579" max="12579" width="7.42578125" style="1" customWidth="1"/>
    <col min="12580" max="12580" width="7.140625" style="1" customWidth="1"/>
    <col min="12581" max="12581" width="6.42578125" style="1" customWidth="1"/>
    <col min="12582" max="12812" width="8.7109375" style="1"/>
    <col min="12813" max="12813" width="3.7109375" style="1" customWidth="1"/>
    <col min="12814" max="12814" width="4.28515625" style="1" customWidth="1"/>
    <col min="12815" max="12815" width="11.28515625" style="1" customWidth="1"/>
    <col min="12816" max="12816" width="13.42578125" style="1" customWidth="1"/>
    <col min="12817" max="12819" width="5.42578125" style="1" customWidth="1"/>
    <col min="12820" max="12820" width="8.28515625" style="1" customWidth="1"/>
    <col min="12821" max="12823" width="4.7109375" style="1" customWidth="1"/>
    <col min="12824" max="12824" width="11.7109375" style="1" customWidth="1"/>
    <col min="12825" max="12826" width="7" style="1" customWidth="1"/>
    <col min="12827" max="12827" width="6.42578125" style="1" customWidth="1"/>
    <col min="12828" max="12828" width="15" style="1" customWidth="1"/>
    <col min="12829" max="12829" width="5.28515625" style="1" customWidth="1"/>
    <col min="12830" max="12832" width="4.7109375" style="1" customWidth="1"/>
    <col min="12833" max="12833" width="11.7109375" style="1" customWidth="1"/>
    <col min="12834" max="12834" width="10" style="1" customWidth="1"/>
    <col min="12835" max="12835" width="7.42578125" style="1" customWidth="1"/>
    <col min="12836" max="12836" width="7.140625" style="1" customWidth="1"/>
    <col min="12837" max="12837" width="6.42578125" style="1" customWidth="1"/>
    <col min="12838" max="13068" width="8.7109375" style="1"/>
    <col min="13069" max="13069" width="3.7109375" style="1" customWidth="1"/>
    <col min="13070" max="13070" width="4.28515625" style="1" customWidth="1"/>
    <col min="13071" max="13071" width="11.28515625" style="1" customWidth="1"/>
    <col min="13072" max="13072" width="13.42578125" style="1" customWidth="1"/>
    <col min="13073" max="13075" width="5.42578125" style="1" customWidth="1"/>
    <col min="13076" max="13076" width="8.28515625" style="1" customWidth="1"/>
    <col min="13077" max="13079" width="4.7109375" style="1" customWidth="1"/>
    <col min="13080" max="13080" width="11.7109375" style="1" customWidth="1"/>
    <col min="13081" max="13082" width="7" style="1" customWidth="1"/>
    <col min="13083" max="13083" width="6.42578125" style="1" customWidth="1"/>
    <col min="13084" max="13084" width="15" style="1" customWidth="1"/>
    <col min="13085" max="13085" width="5.28515625" style="1" customWidth="1"/>
    <col min="13086" max="13088" width="4.7109375" style="1" customWidth="1"/>
    <col min="13089" max="13089" width="11.7109375" style="1" customWidth="1"/>
    <col min="13090" max="13090" width="10" style="1" customWidth="1"/>
    <col min="13091" max="13091" width="7.42578125" style="1" customWidth="1"/>
    <col min="13092" max="13092" width="7.140625" style="1" customWidth="1"/>
    <col min="13093" max="13093" width="6.42578125" style="1" customWidth="1"/>
    <col min="13094" max="13324" width="8.7109375" style="1"/>
    <col min="13325" max="13325" width="3.7109375" style="1" customWidth="1"/>
    <col min="13326" max="13326" width="4.28515625" style="1" customWidth="1"/>
    <col min="13327" max="13327" width="11.28515625" style="1" customWidth="1"/>
    <col min="13328" max="13328" width="13.42578125" style="1" customWidth="1"/>
    <col min="13329" max="13331" width="5.42578125" style="1" customWidth="1"/>
    <col min="13332" max="13332" width="8.28515625" style="1" customWidth="1"/>
    <col min="13333" max="13335" width="4.7109375" style="1" customWidth="1"/>
    <col min="13336" max="13336" width="11.7109375" style="1" customWidth="1"/>
    <col min="13337" max="13338" width="7" style="1" customWidth="1"/>
    <col min="13339" max="13339" width="6.42578125" style="1" customWidth="1"/>
    <col min="13340" max="13340" width="15" style="1" customWidth="1"/>
    <col min="13341" max="13341" width="5.28515625" style="1" customWidth="1"/>
    <col min="13342" max="13344" width="4.7109375" style="1" customWidth="1"/>
    <col min="13345" max="13345" width="11.7109375" style="1" customWidth="1"/>
    <col min="13346" max="13346" width="10" style="1" customWidth="1"/>
    <col min="13347" max="13347" width="7.42578125" style="1" customWidth="1"/>
    <col min="13348" max="13348" width="7.140625" style="1" customWidth="1"/>
    <col min="13349" max="13349" width="6.42578125" style="1" customWidth="1"/>
    <col min="13350" max="13580" width="8.7109375" style="1"/>
    <col min="13581" max="13581" width="3.7109375" style="1" customWidth="1"/>
    <col min="13582" max="13582" width="4.28515625" style="1" customWidth="1"/>
    <col min="13583" max="13583" width="11.28515625" style="1" customWidth="1"/>
    <col min="13584" max="13584" width="13.42578125" style="1" customWidth="1"/>
    <col min="13585" max="13587" width="5.42578125" style="1" customWidth="1"/>
    <col min="13588" max="13588" width="8.28515625" style="1" customWidth="1"/>
    <col min="13589" max="13591" width="4.7109375" style="1" customWidth="1"/>
    <col min="13592" max="13592" width="11.7109375" style="1" customWidth="1"/>
    <col min="13593" max="13594" width="7" style="1" customWidth="1"/>
    <col min="13595" max="13595" width="6.42578125" style="1" customWidth="1"/>
    <col min="13596" max="13596" width="15" style="1" customWidth="1"/>
    <col min="13597" max="13597" width="5.28515625" style="1" customWidth="1"/>
    <col min="13598" max="13600" width="4.7109375" style="1" customWidth="1"/>
    <col min="13601" max="13601" width="11.7109375" style="1" customWidth="1"/>
    <col min="13602" max="13602" width="10" style="1" customWidth="1"/>
    <col min="13603" max="13603" width="7.42578125" style="1" customWidth="1"/>
    <col min="13604" max="13604" width="7.140625" style="1" customWidth="1"/>
    <col min="13605" max="13605" width="6.42578125" style="1" customWidth="1"/>
    <col min="13606" max="13836" width="8.7109375" style="1"/>
    <col min="13837" max="13837" width="3.7109375" style="1" customWidth="1"/>
    <col min="13838" max="13838" width="4.28515625" style="1" customWidth="1"/>
    <col min="13839" max="13839" width="11.28515625" style="1" customWidth="1"/>
    <col min="13840" max="13840" width="13.42578125" style="1" customWidth="1"/>
    <col min="13841" max="13843" width="5.42578125" style="1" customWidth="1"/>
    <col min="13844" max="13844" width="8.28515625" style="1" customWidth="1"/>
    <col min="13845" max="13847" width="4.7109375" style="1" customWidth="1"/>
    <col min="13848" max="13848" width="11.7109375" style="1" customWidth="1"/>
    <col min="13849" max="13850" width="7" style="1" customWidth="1"/>
    <col min="13851" max="13851" width="6.42578125" style="1" customWidth="1"/>
    <col min="13852" max="13852" width="15" style="1" customWidth="1"/>
    <col min="13853" max="13853" width="5.28515625" style="1" customWidth="1"/>
    <col min="13854" max="13856" width="4.7109375" style="1" customWidth="1"/>
    <col min="13857" max="13857" width="11.7109375" style="1" customWidth="1"/>
    <col min="13858" max="13858" width="10" style="1" customWidth="1"/>
    <col min="13859" max="13859" width="7.42578125" style="1" customWidth="1"/>
    <col min="13860" max="13860" width="7.140625" style="1" customWidth="1"/>
    <col min="13861" max="13861" width="6.42578125" style="1" customWidth="1"/>
    <col min="13862" max="14092" width="8.7109375" style="1"/>
    <col min="14093" max="14093" width="3.7109375" style="1" customWidth="1"/>
    <col min="14094" max="14094" width="4.28515625" style="1" customWidth="1"/>
    <col min="14095" max="14095" width="11.28515625" style="1" customWidth="1"/>
    <col min="14096" max="14096" width="13.42578125" style="1" customWidth="1"/>
    <col min="14097" max="14099" width="5.42578125" style="1" customWidth="1"/>
    <col min="14100" max="14100" width="8.28515625" style="1" customWidth="1"/>
    <col min="14101" max="14103" width="4.7109375" style="1" customWidth="1"/>
    <col min="14104" max="14104" width="11.7109375" style="1" customWidth="1"/>
    <col min="14105" max="14106" width="7" style="1" customWidth="1"/>
    <col min="14107" max="14107" width="6.42578125" style="1" customWidth="1"/>
    <col min="14108" max="14108" width="15" style="1" customWidth="1"/>
    <col min="14109" max="14109" width="5.28515625" style="1" customWidth="1"/>
    <col min="14110" max="14112" width="4.7109375" style="1" customWidth="1"/>
    <col min="14113" max="14113" width="11.7109375" style="1" customWidth="1"/>
    <col min="14114" max="14114" width="10" style="1" customWidth="1"/>
    <col min="14115" max="14115" width="7.42578125" style="1" customWidth="1"/>
    <col min="14116" max="14116" width="7.140625" style="1" customWidth="1"/>
    <col min="14117" max="14117" width="6.42578125" style="1" customWidth="1"/>
    <col min="14118" max="14348" width="8.7109375" style="1"/>
    <col min="14349" max="14349" width="3.7109375" style="1" customWidth="1"/>
    <col min="14350" max="14350" width="4.28515625" style="1" customWidth="1"/>
    <col min="14351" max="14351" width="11.28515625" style="1" customWidth="1"/>
    <col min="14352" max="14352" width="13.42578125" style="1" customWidth="1"/>
    <col min="14353" max="14355" width="5.42578125" style="1" customWidth="1"/>
    <col min="14356" max="14356" width="8.28515625" style="1" customWidth="1"/>
    <col min="14357" max="14359" width="4.7109375" style="1" customWidth="1"/>
    <col min="14360" max="14360" width="11.7109375" style="1" customWidth="1"/>
    <col min="14361" max="14362" width="7" style="1" customWidth="1"/>
    <col min="14363" max="14363" width="6.42578125" style="1" customWidth="1"/>
    <col min="14364" max="14364" width="15" style="1" customWidth="1"/>
    <col min="14365" max="14365" width="5.28515625" style="1" customWidth="1"/>
    <col min="14366" max="14368" width="4.7109375" style="1" customWidth="1"/>
    <col min="14369" max="14369" width="11.7109375" style="1" customWidth="1"/>
    <col min="14370" max="14370" width="10" style="1" customWidth="1"/>
    <col min="14371" max="14371" width="7.42578125" style="1" customWidth="1"/>
    <col min="14372" max="14372" width="7.140625" style="1" customWidth="1"/>
    <col min="14373" max="14373" width="6.42578125" style="1" customWidth="1"/>
    <col min="14374" max="14604" width="8.7109375" style="1"/>
    <col min="14605" max="14605" width="3.7109375" style="1" customWidth="1"/>
    <col min="14606" max="14606" width="4.28515625" style="1" customWidth="1"/>
    <col min="14607" max="14607" width="11.28515625" style="1" customWidth="1"/>
    <col min="14608" max="14608" width="13.42578125" style="1" customWidth="1"/>
    <col min="14609" max="14611" width="5.42578125" style="1" customWidth="1"/>
    <col min="14612" max="14612" width="8.28515625" style="1" customWidth="1"/>
    <col min="14613" max="14615" width="4.7109375" style="1" customWidth="1"/>
    <col min="14616" max="14616" width="11.7109375" style="1" customWidth="1"/>
    <col min="14617" max="14618" width="7" style="1" customWidth="1"/>
    <col min="14619" max="14619" width="6.42578125" style="1" customWidth="1"/>
    <col min="14620" max="14620" width="15" style="1" customWidth="1"/>
    <col min="14621" max="14621" width="5.28515625" style="1" customWidth="1"/>
    <col min="14622" max="14624" width="4.7109375" style="1" customWidth="1"/>
    <col min="14625" max="14625" width="11.7109375" style="1" customWidth="1"/>
    <col min="14626" max="14626" width="10" style="1" customWidth="1"/>
    <col min="14627" max="14627" width="7.42578125" style="1" customWidth="1"/>
    <col min="14628" max="14628" width="7.140625" style="1" customWidth="1"/>
    <col min="14629" max="14629" width="6.42578125" style="1" customWidth="1"/>
    <col min="14630" max="14860" width="8.7109375" style="1"/>
    <col min="14861" max="14861" width="3.7109375" style="1" customWidth="1"/>
    <col min="14862" max="14862" width="4.28515625" style="1" customWidth="1"/>
    <col min="14863" max="14863" width="11.28515625" style="1" customWidth="1"/>
    <col min="14864" max="14864" width="13.42578125" style="1" customWidth="1"/>
    <col min="14865" max="14867" width="5.42578125" style="1" customWidth="1"/>
    <col min="14868" max="14868" width="8.28515625" style="1" customWidth="1"/>
    <col min="14869" max="14871" width="4.7109375" style="1" customWidth="1"/>
    <col min="14872" max="14872" width="11.7109375" style="1" customWidth="1"/>
    <col min="14873" max="14874" width="7" style="1" customWidth="1"/>
    <col min="14875" max="14875" width="6.42578125" style="1" customWidth="1"/>
    <col min="14876" max="14876" width="15" style="1" customWidth="1"/>
    <col min="14877" max="14877" width="5.28515625" style="1" customWidth="1"/>
    <col min="14878" max="14880" width="4.7109375" style="1" customWidth="1"/>
    <col min="14881" max="14881" width="11.7109375" style="1" customWidth="1"/>
    <col min="14882" max="14882" width="10" style="1" customWidth="1"/>
    <col min="14883" max="14883" width="7.42578125" style="1" customWidth="1"/>
    <col min="14884" max="14884" width="7.140625" style="1" customWidth="1"/>
    <col min="14885" max="14885" width="6.42578125" style="1" customWidth="1"/>
    <col min="14886" max="15116" width="8.7109375" style="1"/>
    <col min="15117" max="15117" width="3.7109375" style="1" customWidth="1"/>
    <col min="15118" max="15118" width="4.28515625" style="1" customWidth="1"/>
    <col min="15119" max="15119" width="11.28515625" style="1" customWidth="1"/>
    <col min="15120" max="15120" width="13.42578125" style="1" customWidth="1"/>
    <col min="15121" max="15123" width="5.42578125" style="1" customWidth="1"/>
    <col min="15124" max="15124" width="8.28515625" style="1" customWidth="1"/>
    <col min="15125" max="15127" width="4.7109375" style="1" customWidth="1"/>
    <col min="15128" max="15128" width="11.7109375" style="1" customWidth="1"/>
    <col min="15129" max="15130" width="7" style="1" customWidth="1"/>
    <col min="15131" max="15131" width="6.42578125" style="1" customWidth="1"/>
    <col min="15132" max="15132" width="15" style="1" customWidth="1"/>
    <col min="15133" max="15133" width="5.28515625" style="1" customWidth="1"/>
    <col min="15134" max="15136" width="4.7109375" style="1" customWidth="1"/>
    <col min="15137" max="15137" width="11.7109375" style="1" customWidth="1"/>
    <col min="15138" max="15138" width="10" style="1" customWidth="1"/>
    <col min="15139" max="15139" width="7.42578125" style="1" customWidth="1"/>
    <col min="15140" max="15140" width="7.140625" style="1" customWidth="1"/>
    <col min="15141" max="15141" width="6.42578125" style="1" customWidth="1"/>
    <col min="15142" max="15372" width="8.7109375" style="1"/>
    <col min="15373" max="15373" width="3.7109375" style="1" customWidth="1"/>
    <col min="15374" max="15374" width="4.28515625" style="1" customWidth="1"/>
    <col min="15375" max="15375" width="11.28515625" style="1" customWidth="1"/>
    <col min="15376" max="15376" width="13.42578125" style="1" customWidth="1"/>
    <col min="15377" max="15379" width="5.42578125" style="1" customWidth="1"/>
    <col min="15380" max="15380" width="8.28515625" style="1" customWidth="1"/>
    <col min="15381" max="15383" width="4.7109375" style="1" customWidth="1"/>
    <col min="15384" max="15384" width="11.7109375" style="1" customWidth="1"/>
    <col min="15385" max="15386" width="7" style="1" customWidth="1"/>
    <col min="15387" max="15387" width="6.42578125" style="1" customWidth="1"/>
    <col min="15388" max="15388" width="15" style="1" customWidth="1"/>
    <col min="15389" max="15389" width="5.28515625" style="1" customWidth="1"/>
    <col min="15390" max="15392" width="4.7109375" style="1" customWidth="1"/>
    <col min="15393" max="15393" width="11.7109375" style="1" customWidth="1"/>
    <col min="15394" max="15394" width="10" style="1" customWidth="1"/>
    <col min="15395" max="15395" width="7.42578125" style="1" customWidth="1"/>
    <col min="15396" max="15396" width="7.140625" style="1" customWidth="1"/>
    <col min="15397" max="15397" width="6.42578125" style="1" customWidth="1"/>
    <col min="15398" max="15628" width="8.7109375" style="1"/>
    <col min="15629" max="15629" width="3.7109375" style="1" customWidth="1"/>
    <col min="15630" max="15630" width="4.28515625" style="1" customWidth="1"/>
    <col min="15631" max="15631" width="11.28515625" style="1" customWidth="1"/>
    <col min="15632" max="15632" width="13.42578125" style="1" customWidth="1"/>
    <col min="15633" max="15635" width="5.42578125" style="1" customWidth="1"/>
    <col min="15636" max="15636" width="8.28515625" style="1" customWidth="1"/>
    <col min="15637" max="15639" width="4.7109375" style="1" customWidth="1"/>
    <col min="15640" max="15640" width="11.7109375" style="1" customWidth="1"/>
    <col min="15641" max="15642" width="7" style="1" customWidth="1"/>
    <col min="15643" max="15643" width="6.42578125" style="1" customWidth="1"/>
    <col min="15644" max="15644" width="15" style="1" customWidth="1"/>
    <col min="15645" max="15645" width="5.28515625" style="1" customWidth="1"/>
    <col min="15646" max="15648" width="4.7109375" style="1" customWidth="1"/>
    <col min="15649" max="15649" width="11.7109375" style="1" customWidth="1"/>
    <col min="15650" max="15650" width="10" style="1" customWidth="1"/>
    <col min="15651" max="15651" width="7.42578125" style="1" customWidth="1"/>
    <col min="15652" max="15652" width="7.140625" style="1" customWidth="1"/>
    <col min="15653" max="15653" width="6.42578125" style="1" customWidth="1"/>
    <col min="15654" max="15884" width="8.7109375" style="1"/>
    <col min="15885" max="15885" width="3.7109375" style="1" customWidth="1"/>
    <col min="15886" max="15886" width="4.28515625" style="1" customWidth="1"/>
    <col min="15887" max="15887" width="11.28515625" style="1" customWidth="1"/>
    <col min="15888" max="15888" width="13.42578125" style="1" customWidth="1"/>
    <col min="15889" max="15891" width="5.42578125" style="1" customWidth="1"/>
    <col min="15892" max="15892" width="8.28515625" style="1" customWidth="1"/>
    <col min="15893" max="15895" width="4.7109375" style="1" customWidth="1"/>
    <col min="15896" max="15896" width="11.7109375" style="1" customWidth="1"/>
    <col min="15897" max="15898" width="7" style="1" customWidth="1"/>
    <col min="15899" max="15899" width="6.42578125" style="1" customWidth="1"/>
    <col min="15900" max="15900" width="15" style="1" customWidth="1"/>
    <col min="15901" max="15901" width="5.28515625" style="1" customWidth="1"/>
    <col min="15902" max="15904" width="4.7109375" style="1" customWidth="1"/>
    <col min="15905" max="15905" width="11.7109375" style="1" customWidth="1"/>
    <col min="15906" max="15906" width="10" style="1" customWidth="1"/>
    <col min="15907" max="15907" width="7.42578125" style="1" customWidth="1"/>
    <col min="15908" max="15908" width="7.140625" style="1" customWidth="1"/>
    <col min="15909" max="15909" width="6.42578125" style="1" customWidth="1"/>
    <col min="15910" max="16140" width="8.7109375" style="1"/>
    <col min="16141" max="16141" width="3.7109375" style="1" customWidth="1"/>
    <col min="16142" max="16142" width="4.28515625" style="1" customWidth="1"/>
    <col min="16143" max="16143" width="11.28515625" style="1" customWidth="1"/>
    <col min="16144" max="16144" width="13.42578125" style="1" customWidth="1"/>
    <col min="16145" max="16147" width="5.42578125" style="1" customWidth="1"/>
    <col min="16148" max="16148" width="8.28515625" style="1" customWidth="1"/>
    <col min="16149" max="16151" width="4.7109375" style="1" customWidth="1"/>
    <col min="16152" max="16152" width="11.7109375" style="1" customWidth="1"/>
    <col min="16153" max="16154" width="7" style="1" customWidth="1"/>
    <col min="16155" max="16155" width="6.42578125" style="1" customWidth="1"/>
    <col min="16156" max="16156" width="15" style="1" customWidth="1"/>
    <col min="16157" max="16157" width="5.28515625" style="1" customWidth="1"/>
    <col min="16158" max="16160" width="4.7109375" style="1" customWidth="1"/>
    <col min="16161" max="16161" width="11.7109375" style="1" customWidth="1"/>
    <col min="16162" max="16162" width="10" style="1" customWidth="1"/>
    <col min="16163" max="16163" width="7.42578125" style="1" customWidth="1"/>
    <col min="16164" max="16164" width="7.140625" style="1" customWidth="1"/>
    <col min="16165" max="16165" width="6.42578125" style="1" customWidth="1"/>
    <col min="16166" max="16384" width="8.7109375" style="1"/>
  </cols>
  <sheetData>
    <row r="1" spans="2:39" x14ac:dyDescent="0.25">
      <c r="B1" s="1" t="s">
        <v>0</v>
      </c>
      <c r="F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K1" s="2" t="s">
        <v>1</v>
      </c>
    </row>
    <row r="2" spans="2:39" ht="15" customHeight="1" x14ac:dyDescent="0.25">
      <c r="B2" s="1" t="s">
        <v>42</v>
      </c>
      <c r="F2" s="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K2" s="1" t="s">
        <v>2</v>
      </c>
    </row>
    <row r="3" spans="2:39" ht="15" customHeight="1" x14ac:dyDescent="0.25">
      <c r="B3" s="1" t="s">
        <v>95</v>
      </c>
      <c r="F3" s="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K3" s="4" t="s">
        <v>3</v>
      </c>
    </row>
    <row r="4" spans="2:39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spans="2:39" ht="17.25" customHeight="1" x14ac:dyDescent="0.25">
      <c r="B5" s="44" t="s">
        <v>102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2:39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2:39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2:39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2:39" ht="39.7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  <c r="V9" s="64" t="s">
        <v>12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  <c r="AL9" s="9" t="s">
        <v>13</v>
      </c>
      <c r="AM9" s="46" t="s">
        <v>14</v>
      </c>
    </row>
    <row r="10" spans="2:39" s="11" customFormat="1" ht="23.25" customHeight="1" x14ac:dyDescent="0.25">
      <c r="B10" s="60"/>
      <c r="C10" s="60"/>
      <c r="D10" s="60"/>
      <c r="E10" s="60"/>
      <c r="F10" s="49" t="s">
        <v>15</v>
      </c>
      <c r="G10" s="67" t="s">
        <v>15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 t="s">
        <v>15</v>
      </c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49" t="s">
        <v>16</v>
      </c>
      <c r="AM10" s="47"/>
    </row>
    <row r="11" spans="2:39" s="12" customFormat="1" ht="73.150000000000006" customHeight="1" x14ac:dyDescent="0.25">
      <c r="B11" s="60"/>
      <c r="C11" s="60"/>
      <c r="D11" s="60"/>
      <c r="E11" s="60"/>
      <c r="F11" s="50"/>
      <c r="G11" s="10" t="s">
        <v>69</v>
      </c>
      <c r="H11" s="10" t="s">
        <v>70</v>
      </c>
      <c r="I11" s="10" t="s">
        <v>71</v>
      </c>
      <c r="J11" s="10" t="s">
        <v>73</v>
      </c>
      <c r="K11" s="10" t="s">
        <v>75</v>
      </c>
      <c r="L11" s="10" t="s">
        <v>77</v>
      </c>
      <c r="M11" s="10" t="s">
        <v>78</v>
      </c>
      <c r="N11" s="10" t="s">
        <v>79</v>
      </c>
      <c r="O11" s="10" t="s">
        <v>81</v>
      </c>
      <c r="P11" s="10" t="s">
        <v>82</v>
      </c>
      <c r="Q11" s="10" t="s">
        <v>84</v>
      </c>
      <c r="R11" s="10" t="s">
        <v>85</v>
      </c>
      <c r="S11" s="10" t="s">
        <v>86</v>
      </c>
      <c r="T11" s="10" t="s">
        <v>88</v>
      </c>
      <c r="U11" s="10" t="s">
        <v>17</v>
      </c>
      <c r="V11" s="10" t="s">
        <v>69</v>
      </c>
      <c r="W11" s="10" t="s">
        <v>72</v>
      </c>
      <c r="X11" s="10" t="s">
        <v>73</v>
      </c>
      <c r="Y11" s="10" t="s">
        <v>74</v>
      </c>
      <c r="Z11" s="10" t="s">
        <v>76</v>
      </c>
      <c r="AA11" s="10" t="s">
        <v>77</v>
      </c>
      <c r="AB11" s="10" t="s">
        <v>79</v>
      </c>
      <c r="AC11" s="10" t="s">
        <v>80</v>
      </c>
      <c r="AD11" s="10" t="s">
        <v>81</v>
      </c>
      <c r="AE11" s="10" t="s">
        <v>83</v>
      </c>
      <c r="AF11" s="10" t="s">
        <v>85</v>
      </c>
      <c r="AG11" s="10" t="s">
        <v>86</v>
      </c>
      <c r="AH11" s="10" t="s">
        <v>87</v>
      </c>
      <c r="AI11" s="10" t="s">
        <v>88</v>
      </c>
      <c r="AJ11" s="10" t="s">
        <v>91</v>
      </c>
      <c r="AK11" s="8" t="s">
        <v>18</v>
      </c>
      <c r="AL11" s="50"/>
      <c r="AM11" s="48"/>
    </row>
    <row r="12" spans="2:39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52</v>
      </c>
      <c r="P12" s="14" t="s">
        <v>53</v>
      </c>
      <c r="Q12" s="14" t="s">
        <v>54</v>
      </c>
      <c r="R12" s="14" t="s">
        <v>55</v>
      </c>
      <c r="S12" s="14" t="s">
        <v>89</v>
      </c>
      <c r="T12" s="14" t="s">
        <v>90</v>
      </c>
      <c r="U12" s="14" t="s">
        <v>26</v>
      </c>
      <c r="V12" s="14" t="s">
        <v>27</v>
      </c>
      <c r="W12" s="14" t="s">
        <v>28</v>
      </c>
      <c r="X12" s="14" t="s">
        <v>56</v>
      </c>
      <c r="Y12" s="14" t="s">
        <v>57</v>
      </c>
      <c r="Z12" s="14" t="s">
        <v>58</v>
      </c>
      <c r="AA12" s="14" t="s">
        <v>59</v>
      </c>
      <c r="AB12" s="14" t="s">
        <v>60</v>
      </c>
      <c r="AC12" s="14" t="s">
        <v>61</v>
      </c>
      <c r="AD12" s="14" t="s">
        <v>62</v>
      </c>
      <c r="AE12" s="14" t="s">
        <v>63</v>
      </c>
      <c r="AF12" s="14" t="s">
        <v>64</v>
      </c>
      <c r="AG12" s="14" t="s">
        <v>65</v>
      </c>
      <c r="AH12" s="14" t="s">
        <v>66</v>
      </c>
      <c r="AI12" s="14" t="s">
        <v>67</v>
      </c>
      <c r="AJ12" s="26" t="s">
        <v>68</v>
      </c>
      <c r="AK12" s="14" t="s">
        <v>29</v>
      </c>
      <c r="AL12" s="13" t="s">
        <v>30</v>
      </c>
      <c r="AM12" s="13" t="s">
        <v>31</v>
      </c>
    </row>
    <row r="13" spans="2:39" s="22" customFormat="1" ht="74.25" customHeight="1" x14ac:dyDescent="0.25">
      <c r="B13" s="15">
        <v>1</v>
      </c>
      <c r="C13" s="24" t="s">
        <v>44</v>
      </c>
      <c r="D13" s="16"/>
      <c r="E13" s="16" t="s">
        <v>45</v>
      </c>
      <c r="F13" s="16" t="e">
        <f>'T06'!BS13</f>
        <v>#VALUE!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5">
        <f>SUM(G13:T13)</f>
        <v>0</v>
      </c>
      <c r="V13" s="16"/>
      <c r="W13" s="16"/>
      <c r="X13" s="16"/>
      <c r="Y13" s="23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3"/>
      <c r="AK13" s="25">
        <f>SUM(V13:AJ13)</f>
        <v>0</v>
      </c>
      <c r="AL13" s="25" t="e">
        <f>F13+U13-AK13</f>
        <v>#VALUE!</v>
      </c>
      <c r="AM13" s="23" t="s">
        <v>93</v>
      </c>
    </row>
    <row r="14" spans="2:39" ht="24" customHeight="1" x14ac:dyDescent="0.25">
      <c r="B14" s="15" t="s">
        <v>32</v>
      </c>
      <c r="C14" s="15"/>
      <c r="D14" s="15"/>
      <c r="E14" s="15"/>
      <c r="F14" s="8" t="e">
        <f>F13</f>
        <v>#VALUE!</v>
      </c>
      <c r="G14" s="8">
        <f t="shared" ref="G14:AL14" si="0">G13</f>
        <v>0</v>
      </c>
      <c r="H14" s="8">
        <f t="shared" si="0"/>
        <v>0</v>
      </c>
      <c r="I14" s="8">
        <f t="shared" si="0"/>
        <v>0</v>
      </c>
      <c r="J14" s="8">
        <f t="shared" si="0"/>
        <v>0</v>
      </c>
      <c r="K14" s="8">
        <f t="shared" si="0"/>
        <v>0</v>
      </c>
      <c r="L14" s="8">
        <f t="shared" si="0"/>
        <v>0</v>
      </c>
      <c r="M14" s="8">
        <f t="shared" si="0"/>
        <v>0</v>
      </c>
      <c r="N14" s="8">
        <f t="shared" si="0"/>
        <v>0</v>
      </c>
      <c r="O14" s="8">
        <f t="shared" si="0"/>
        <v>0</v>
      </c>
      <c r="P14" s="8">
        <f t="shared" si="0"/>
        <v>0</v>
      </c>
      <c r="Q14" s="8">
        <f t="shared" si="0"/>
        <v>0</v>
      </c>
      <c r="R14" s="8">
        <f t="shared" si="0"/>
        <v>0</v>
      </c>
      <c r="S14" s="8">
        <f t="shared" si="0"/>
        <v>0</v>
      </c>
      <c r="T14" s="8">
        <f t="shared" si="0"/>
        <v>0</v>
      </c>
      <c r="U14" s="8">
        <f t="shared" si="0"/>
        <v>0</v>
      </c>
      <c r="V14" s="8">
        <f t="shared" si="0"/>
        <v>0</v>
      </c>
      <c r="W14" s="8">
        <f t="shared" si="0"/>
        <v>0</v>
      </c>
      <c r="X14" s="8">
        <f t="shared" si="0"/>
        <v>0</v>
      </c>
      <c r="Y14" s="8">
        <f t="shared" si="0"/>
        <v>0</v>
      </c>
      <c r="Z14" s="8">
        <f t="shared" si="0"/>
        <v>0</v>
      </c>
      <c r="AA14" s="8">
        <f t="shared" si="0"/>
        <v>0</v>
      </c>
      <c r="AB14" s="8">
        <f t="shared" si="0"/>
        <v>0</v>
      </c>
      <c r="AC14" s="8">
        <f t="shared" si="0"/>
        <v>0</v>
      </c>
      <c r="AD14" s="8">
        <f t="shared" si="0"/>
        <v>0</v>
      </c>
      <c r="AE14" s="8">
        <f t="shared" si="0"/>
        <v>0</v>
      </c>
      <c r="AF14" s="8">
        <f t="shared" si="0"/>
        <v>0</v>
      </c>
      <c r="AG14" s="8">
        <f t="shared" si="0"/>
        <v>0</v>
      </c>
      <c r="AH14" s="8">
        <f t="shared" si="0"/>
        <v>0</v>
      </c>
      <c r="AI14" s="8">
        <f t="shared" si="0"/>
        <v>0</v>
      </c>
      <c r="AJ14" s="8">
        <f t="shared" si="0"/>
        <v>0</v>
      </c>
      <c r="AK14" s="8">
        <f t="shared" si="0"/>
        <v>0</v>
      </c>
      <c r="AL14" s="8" t="e">
        <f t="shared" si="0"/>
        <v>#VALUE!</v>
      </c>
      <c r="AM14" s="27"/>
    </row>
    <row r="15" spans="2:39" ht="24" customHeight="1" x14ac:dyDescent="0.25">
      <c r="B15" s="17"/>
      <c r="C15" s="17"/>
      <c r="D15" s="17"/>
      <c r="E15" s="17"/>
      <c r="F15" s="18" t="s">
        <v>96</v>
      </c>
      <c r="U15" s="57" t="s">
        <v>33</v>
      </c>
      <c r="V15" s="57"/>
      <c r="W15" s="57"/>
      <c r="X15" s="57"/>
      <c r="Y15" s="57"/>
      <c r="Z15" s="57"/>
      <c r="AA15" s="57"/>
      <c r="AB15" s="57"/>
      <c r="AC15" s="57"/>
      <c r="AD15" s="5"/>
      <c r="AE15" s="5"/>
      <c r="AF15" s="5"/>
      <c r="AG15" s="5"/>
      <c r="AH15" s="5"/>
      <c r="AI15" s="5"/>
      <c r="AJ15" s="19"/>
      <c r="AK15" s="19"/>
    </row>
    <row r="16" spans="2:39" ht="24" customHeight="1" x14ac:dyDescent="0.25">
      <c r="B16" s="17"/>
      <c r="C16" s="17"/>
      <c r="D16" s="17"/>
      <c r="E16" s="17"/>
      <c r="F16" s="18"/>
      <c r="U16" s="44"/>
      <c r="V16" s="44"/>
      <c r="W16" s="44"/>
      <c r="X16" s="44"/>
      <c r="Y16" s="44"/>
      <c r="Z16" s="44"/>
      <c r="AA16" s="44"/>
      <c r="AB16" s="44"/>
      <c r="AC16" s="44"/>
      <c r="AD16" s="5"/>
      <c r="AE16" s="5"/>
      <c r="AF16" s="5"/>
      <c r="AG16" s="5"/>
      <c r="AH16" s="5"/>
      <c r="AI16" s="5"/>
      <c r="AJ16" s="19"/>
      <c r="AK16" s="19"/>
    </row>
    <row r="17" spans="2:38" ht="24" customHeight="1" x14ac:dyDescent="0.25">
      <c r="B17" s="17"/>
      <c r="C17" s="17"/>
      <c r="D17" s="17"/>
      <c r="E17" s="17"/>
    </row>
    <row r="18" spans="2:38" ht="24" customHeight="1" x14ac:dyDescent="0.25">
      <c r="B18" s="17"/>
      <c r="C18" s="17"/>
      <c r="D18" s="17"/>
      <c r="E18" s="17"/>
    </row>
    <row r="19" spans="2:38" ht="24" customHeight="1" x14ac:dyDescent="0.25">
      <c r="B19" s="17"/>
      <c r="C19" s="17"/>
      <c r="D19" s="17"/>
      <c r="E19" s="17"/>
      <c r="F19" s="19" t="s">
        <v>94</v>
      </c>
    </row>
    <row r="20" spans="2:38" ht="24" customHeight="1" x14ac:dyDescent="0.3">
      <c r="B20" s="17"/>
      <c r="C20" s="17"/>
      <c r="D20" s="17"/>
      <c r="E20" s="17"/>
      <c r="F20" s="21"/>
      <c r="U20" s="45" t="s">
        <v>92</v>
      </c>
      <c r="V20" s="45"/>
      <c r="W20" s="45"/>
      <c r="X20" s="45"/>
      <c r="Y20" s="45"/>
      <c r="Z20" s="45"/>
      <c r="AA20" s="45"/>
      <c r="AB20" s="45"/>
      <c r="AC20" s="45"/>
    </row>
    <row r="21" spans="2:38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2:38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spans="2:38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spans="2:38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spans="2:38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 spans="2:38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spans="2:38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spans="2:38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</row>
  </sheetData>
  <mergeCells count="23">
    <mergeCell ref="U15:AC15"/>
    <mergeCell ref="B4:AL4"/>
    <mergeCell ref="B5:AL5"/>
    <mergeCell ref="B9:B11"/>
    <mergeCell ref="C9:C11"/>
    <mergeCell ref="D9:D11"/>
    <mergeCell ref="E9:E11"/>
    <mergeCell ref="G9:U9"/>
    <mergeCell ref="V9:AK9"/>
    <mergeCell ref="AM9:AM11"/>
    <mergeCell ref="F10:F11"/>
    <mergeCell ref="G10:T10"/>
    <mergeCell ref="U10:AK10"/>
    <mergeCell ref="AL10:AL11"/>
    <mergeCell ref="B26:AJ26"/>
    <mergeCell ref="B27:AJ27"/>
    <mergeCell ref="B28:AK28"/>
    <mergeCell ref="U16:AC16"/>
    <mergeCell ref="U20:AC20"/>
    <mergeCell ref="B22:AL22"/>
    <mergeCell ref="B23:AL23"/>
    <mergeCell ref="B24:AL24"/>
    <mergeCell ref="B25:AL25"/>
  </mergeCells>
  <pageMargins left="0.7" right="0.7" top="0.75" bottom="0.75" header="0.3" footer="0.3"/>
  <pageSetup paperSize="9" scale="3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A25C-61DA-4848-96A0-470BF08E559B}">
  <sheetPr codeName="Sheet8">
    <pageSetUpPr fitToPage="1"/>
  </sheetPr>
  <dimension ref="B1:AM28"/>
  <sheetViews>
    <sheetView topLeftCell="N2" zoomScale="66" zoomScaleNormal="66" workbookViewId="0">
      <selection activeCell="F14" sqref="F14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7.7109375" style="1" customWidth="1"/>
    <col min="4" max="4" width="16.28515625" style="1" customWidth="1"/>
    <col min="5" max="5" width="13.42578125" style="1" customWidth="1"/>
    <col min="6" max="6" width="16.7109375" style="1" customWidth="1"/>
    <col min="7" max="20" width="8.7109375" style="3" customWidth="1"/>
    <col min="21" max="21" width="10.7109375" style="3" customWidth="1"/>
    <col min="22" max="35" width="8.42578125" style="3" customWidth="1"/>
    <col min="36" max="36" width="8.42578125" style="1" customWidth="1"/>
    <col min="37" max="37" width="17.140625" style="1" customWidth="1"/>
    <col min="38" max="38" width="21" style="1" customWidth="1"/>
    <col min="39" max="39" width="20.7109375" style="1" customWidth="1"/>
    <col min="40" max="268" width="8.7109375" style="1"/>
    <col min="269" max="269" width="3.7109375" style="1" customWidth="1"/>
    <col min="270" max="270" width="4.28515625" style="1" customWidth="1"/>
    <col min="271" max="271" width="11.28515625" style="1" customWidth="1"/>
    <col min="272" max="272" width="13.42578125" style="1" customWidth="1"/>
    <col min="273" max="275" width="5.42578125" style="1" customWidth="1"/>
    <col min="276" max="276" width="8.28515625" style="1" customWidth="1"/>
    <col min="277" max="279" width="4.7109375" style="1" customWidth="1"/>
    <col min="280" max="280" width="11.7109375" style="1" customWidth="1"/>
    <col min="281" max="282" width="7" style="1" customWidth="1"/>
    <col min="283" max="283" width="6.42578125" style="1" customWidth="1"/>
    <col min="284" max="284" width="15" style="1" customWidth="1"/>
    <col min="285" max="285" width="5.28515625" style="1" customWidth="1"/>
    <col min="286" max="288" width="4.7109375" style="1" customWidth="1"/>
    <col min="289" max="289" width="11.7109375" style="1" customWidth="1"/>
    <col min="290" max="290" width="10" style="1" customWidth="1"/>
    <col min="291" max="291" width="7.42578125" style="1" customWidth="1"/>
    <col min="292" max="292" width="7.140625" style="1" customWidth="1"/>
    <col min="293" max="293" width="6.42578125" style="1" customWidth="1"/>
    <col min="294" max="524" width="8.7109375" style="1"/>
    <col min="525" max="525" width="3.7109375" style="1" customWidth="1"/>
    <col min="526" max="526" width="4.28515625" style="1" customWidth="1"/>
    <col min="527" max="527" width="11.28515625" style="1" customWidth="1"/>
    <col min="528" max="528" width="13.42578125" style="1" customWidth="1"/>
    <col min="529" max="531" width="5.42578125" style="1" customWidth="1"/>
    <col min="532" max="532" width="8.28515625" style="1" customWidth="1"/>
    <col min="533" max="535" width="4.7109375" style="1" customWidth="1"/>
    <col min="536" max="536" width="11.7109375" style="1" customWidth="1"/>
    <col min="537" max="538" width="7" style="1" customWidth="1"/>
    <col min="539" max="539" width="6.42578125" style="1" customWidth="1"/>
    <col min="540" max="540" width="15" style="1" customWidth="1"/>
    <col min="541" max="541" width="5.28515625" style="1" customWidth="1"/>
    <col min="542" max="544" width="4.7109375" style="1" customWidth="1"/>
    <col min="545" max="545" width="11.7109375" style="1" customWidth="1"/>
    <col min="546" max="546" width="10" style="1" customWidth="1"/>
    <col min="547" max="547" width="7.42578125" style="1" customWidth="1"/>
    <col min="548" max="548" width="7.140625" style="1" customWidth="1"/>
    <col min="549" max="549" width="6.42578125" style="1" customWidth="1"/>
    <col min="550" max="780" width="8.7109375" style="1"/>
    <col min="781" max="781" width="3.7109375" style="1" customWidth="1"/>
    <col min="782" max="782" width="4.28515625" style="1" customWidth="1"/>
    <col min="783" max="783" width="11.28515625" style="1" customWidth="1"/>
    <col min="784" max="784" width="13.42578125" style="1" customWidth="1"/>
    <col min="785" max="787" width="5.42578125" style="1" customWidth="1"/>
    <col min="788" max="788" width="8.28515625" style="1" customWidth="1"/>
    <col min="789" max="791" width="4.7109375" style="1" customWidth="1"/>
    <col min="792" max="792" width="11.7109375" style="1" customWidth="1"/>
    <col min="793" max="794" width="7" style="1" customWidth="1"/>
    <col min="795" max="795" width="6.42578125" style="1" customWidth="1"/>
    <col min="796" max="796" width="15" style="1" customWidth="1"/>
    <col min="797" max="797" width="5.28515625" style="1" customWidth="1"/>
    <col min="798" max="800" width="4.7109375" style="1" customWidth="1"/>
    <col min="801" max="801" width="11.7109375" style="1" customWidth="1"/>
    <col min="802" max="802" width="10" style="1" customWidth="1"/>
    <col min="803" max="803" width="7.42578125" style="1" customWidth="1"/>
    <col min="804" max="804" width="7.140625" style="1" customWidth="1"/>
    <col min="805" max="805" width="6.42578125" style="1" customWidth="1"/>
    <col min="806" max="1036" width="8.7109375" style="1"/>
    <col min="1037" max="1037" width="3.7109375" style="1" customWidth="1"/>
    <col min="1038" max="1038" width="4.28515625" style="1" customWidth="1"/>
    <col min="1039" max="1039" width="11.28515625" style="1" customWidth="1"/>
    <col min="1040" max="1040" width="13.42578125" style="1" customWidth="1"/>
    <col min="1041" max="1043" width="5.42578125" style="1" customWidth="1"/>
    <col min="1044" max="1044" width="8.28515625" style="1" customWidth="1"/>
    <col min="1045" max="1047" width="4.7109375" style="1" customWidth="1"/>
    <col min="1048" max="1048" width="11.7109375" style="1" customWidth="1"/>
    <col min="1049" max="1050" width="7" style="1" customWidth="1"/>
    <col min="1051" max="1051" width="6.42578125" style="1" customWidth="1"/>
    <col min="1052" max="1052" width="15" style="1" customWidth="1"/>
    <col min="1053" max="1053" width="5.28515625" style="1" customWidth="1"/>
    <col min="1054" max="1056" width="4.7109375" style="1" customWidth="1"/>
    <col min="1057" max="1057" width="11.7109375" style="1" customWidth="1"/>
    <col min="1058" max="1058" width="10" style="1" customWidth="1"/>
    <col min="1059" max="1059" width="7.42578125" style="1" customWidth="1"/>
    <col min="1060" max="1060" width="7.140625" style="1" customWidth="1"/>
    <col min="1061" max="1061" width="6.42578125" style="1" customWidth="1"/>
    <col min="1062" max="1292" width="8.7109375" style="1"/>
    <col min="1293" max="1293" width="3.7109375" style="1" customWidth="1"/>
    <col min="1294" max="1294" width="4.28515625" style="1" customWidth="1"/>
    <col min="1295" max="1295" width="11.28515625" style="1" customWidth="1"/>
    <col min="1296" max="1296" width="13.42578125" style="1" customWidth="1"/>
    <col min="1297" max="1299" width="5.42578125" style="1" customWidth="1"/>
    <col min="1300" max="1300" width="8.28515625" style="1" customWidth="1"/>
    <col min="1301" max="1303" width="4.7109375" style="1" customWidth="1"/>
    <col min="1304" max="1304" width="11.7109375" style="1" customWidth="1"/>
    <col min="1305" max="1306" width="7" style="1" customWidth="1"/>
    <col min="1307" max="1307" width="6.42578125" style="1" customWidth="1"/>
    <col min="1308" max="1308" width="15" style="1" customWidth="1"/>
    <col min="1309" max="1309" width="5.28515625" style="1" customWidth="1"/>
    <col min="1310" max="1312" width="4.7109375" style="1" customWidth="1"/>
    <col min="1313" max="1313" width="11.7109375" style="1" customWidth="1"/>
    <col min="1314" max="1314" width="10" style="1" customWidth="1"/>
    <col min="1315" max="1315" width="7.42578125" style="1" customWidth="1"/>
    <col min="1316" max="1316" width="7.140625" style="1" customWidth="1"/>
    <col min="1317" max="1317" width="6.42578125" style="1" customWidth="1"/>
    <col min="1318" max="1548" width="8.7109375" style="1"/>
    <col min="1549" max="1549" width="3.7109375" style="1" customWidth="1"/>
    <col min="1550" max="1550" width="4.28515625" style="1" customWidth="1"/>
    <col min="1551" max="1551" width="11.28515625" style="1" customWidth="1"/>
    <col min="1552" max="1552" width="13.42578125" style="1" customWidth="1"/>
    <col min="1553" max="1555" width="5.42578125" style="1" customWidth="1"/>
    <col min="1556" max="1556" width="8.28515625" style="1" customWidth="1"/>
    <col min="1557" max="1559" width="4.7109375" style="1" customWidth="1"/>
    <col min="1560" max="1560" width="11.7109375" style="1" customWidth="1"/>
    <col min="1561" max="1562" width="7" style="1" customWidth="1"/>
    <col min="1563" max="1563" width="6.42578125" style="1" customWidth="1"/>
    <col min="1564" max="1564" width="15" style="1" customWidth="1"/>
    <col min="1565" max="1565" width="5.28515625" style="1" customWidth="1"/>
    <col min="1566" max="1568" width="4.7109375" style="1" customWidth="1"/>
    <col min="1569" max="1569" width="11.7109375" style="1" customWidth="1"/>
    <col min="1570" max="1570" width="10" style="1" customWidth="1"/>
    <col min="1571" max="1571" width="7.42578125" style="1" customWidth="1"/>
    <col min="1572" max="1572" width="7.140625" style="1" customWidth="1"/>
    <col min="1573" max="1573" width="6.42578125" style="1" customWidth="1"/>
    <col min="1574" max="1804" width="8.7109375" style="1"/>
    <col min="1805" max="1805" width="3.7109375" style="1" customWidth="1"/>
    <col min="1806" max="1806" width="4.28515625" style="1" customWidth="1"/>
    <col min="1807" max="1807" width="11.28515625" style="1" customWidth="1"/>
    <col min="1808" max="1808" width="13.42578125" style="1" customWidth="1"/>
    <col min="1809" max="1811" width="5.42578125" style="1" customWidth="1"/>
    <col min="1812" max="1812" width="8.28515625" style="1" customWidth="1"/>
    <col min="1813" max="1815" width="4.7109375" style="1" customWidth="1"/>
    <col min="1816" max="1816" width="11.7109375" style="1" customWidth="1"/>
    <col min="1817" max="1818" width="7" style="1" customWidth="1"/>
    <col min="1819" max="1819" width="6.42578125" style="1" customWidth="1"/>
    <col min="1820" max="1820" width="15" style="1" customWidth="1"/>
    <col min="1821" max="1821" width="5.28515625" style="1" customWidth="1"/>
    <col min="1822" max="1824" width="4.7109375" style="1" customWidth="1"/>
    <col min="1825" max="1825" width="11.7109375" style="1" customWidth="1"/>
    <col min="1826" max="1826" width="10" style="1" customWidth="1"/>
    <col min="1827" max="1827" width="7.42578125" style="1" customWidth="1"/>
    <col min="1828" max="1828" width="7.140625" style="1" customWidth="1"/>
    <col min="1829" max="1829" width="6.42578125" style="1" customWidth="1"/>
    <col min="1830" max="2060" width="8.7109375" style="1"/>
    <col min="2061" max="2061" width="3.7109375" style="1" customWidth="1"/>
    <col min="2062" max="2062" width="4.28515625" style="1" customWidth="1"/>
    <col min="2063" max="2063" width="11.28515625" style="1" customWidth="1"/>
    <col min="2064" max="2064" width="13.42578125" style="1" customWidth="1"/>
    <col min="2065" max="2067" width="5.42578125" style="1" customWidth="1"/>
    <col min="2068" max="2068" width="8.28515625" style="1" customWidth="1"/>
    <col min="2069" max="2071" width="4.7109375" style="1" customWidth="1"/>
    <col min="2072" max="2072" width="11.7109375" style="1" customWidth="1"/>
    <col min="2073" max="2074" width="7" style="1" customWidth="1"/>
    <col min="2075" max="2075" width="6.42578125" style="1" customWidth="1"/>
    <col min="2076" max="2076" width="15" style="1" customWidth="1"/>
    <col min="2077" max="2077" width="5.28515625" style="1" customWidth="1"/>
    <col min="2078" max="2080" width="4.7109375" style="1" customWidth="1"/>
    <col min="2081" max="2081" width="11.7109375" style="1" customWidth="1"/>
    <col min="2082" max="2082" width="10" style="1" customWidth="1"/>
    <col min="2083" max="2083" width="7.42578125" style="1" customWidth="1"/>
    <col min="2084" max="2084" width="7.140625" style="1" customWidth="1"/>
    <col min="2085" max="2085" width="6.42578125" style="1" customWidth="1"/>
    <col min="2086" max="2316" width="8.7109375" style="1"/>
    <col min="2317" max="2317" width="3.7109375" style="1" customWidth="1"/>
    <col min="2318" max="2318" width="4.28515625" style="1" customWidth="1"/>
    <col min="2319" max="2319" width="11.28515625" style="1" customWidth="1"/>
    <col min="2320" max="2320" width="13.42578125" style="1" customWidth="1"/>
    <col min="2321" max="2323" width="5.42578125" style="1" customWidth="1"/>
    <col min="2324" max="2324" width="8.28515625" style="1" customWidth="1"/>
    <col min="2325" max="2327" width="4.7109375" style="1" customWidth="1"/>
    <col min="2328" max="2328" width="11.7109375" style="1" customWidth="1"/>
    <col min="2329" max="2330" width="7" style="1" customWidth="1"/>
    <col min="2331" max="2331" width="6.42578125" style="1" customWidth="1"/>
    <col min="2332" max="2332" width="15" style="1" customWidth="1"/>
    <col min="2333" max="2333" width="5.28515625" style="1" customWidth="1"/>
    <col min="2334" max="2336" width="4.7109375" style="1" customWidth="1"/>
    <col min="2337" max="2337" width="11.7109375" style="1" customWidth="1"/>
    <col min="2338" max="2338" width="10" style="1" customWidth="1"/>
    <col min="2339" max="2339" width="7.42578125" style="1" customWidth="1"/>
    <col min="2340" max="2340" width="7.140625" style="1" customWidth="1"/>
    <col min="2341" max="2341" width="6.42578125" style="1" customWidth="1"/>
    <col min="2342" max="2572" width="8.7109375" style="1"/>
    <col min="2573" max="2573" width="3.7109375" style="1" customWidth="1"/>
    <col min="2574" max="2574" width="4.28515625" style="1" customWidth="1"/>
    <col min="2575" max="2575" width="11.28515625" style="1" customWidth="1"/>
    <col min="2576" max="2576" width="13.42578125" style="1" customWidth="1"/>
    <col min="2577" max="2579" width="5.42578125" style="1" customWidth="1"/>
    <col min="2580" max="2580" width="8.28515625" style="1" customWidth="1"/>
    <col min="2581" max="2583" width="4.7109375" style="1" customWidth="1"/>
    <col min="2584" max="2584" width="11.7109375" style="1" customWidth="1"/>
    <col min="2585" max="2586" width="7" style="1" customWidth="1"/>
    <col min="2587" max="2587" width="6.42578125" style="1" customWidth="1"/>
    <col min="2588" max="2588" width="15" style="1" customWidth="1"/>
    <col min="2589" max="2589" width="5.28515625" style="1" customWidth="1"/>
    <col min="2590" max="2592" width="4.7109375" style="1" customWidth="1"/>
    <col min="2593" max="2593" width="11.7109375" style="1" customWidth="1"/>
    <col min="2594" max="2594" width="10" style="1" customWidth="1"/>
    <col min="2595" max="2595" width="7.42578125" style="1" customWidth="1"/>
    <col min="2596" max="2596" width="7.140625" style="1" customWidth="1"/>
    <col min="2597" max="2597" width="6.42578125" style="1" customWidth="1"/>
    <col min="2598" max="2828" width="8.7109375" style="1"/>
    <col min="2829" max="2829" width="3.7109375" style="1" customWidth="1"/>
    <col min="2830" max="2830" width="4.28515625" style="1" customWidth="1"/>
    <col min="2831" max="2831" width="11.28515625" style="1" customWidth="1"/>
    <col min="2832" max="2832" width="13.42578125" style="1" customWidth="1"/>
    <col min="2833" max="2835" width="5.42578125" style="1" customWidth="1"/>
    <col min="2836" max="2836" width="8.28515625" style="1" customWidth="1"/>
    <col min="2837" max="2839" width="4.7109375" style="1" customWidth="1"/>
    <col min="2840" max="2840" width="11.7109375" style="1" customWidth="1"/>
    <col min="2841" max="2842" width="7" style="1" customWidth="1"/>
    <col min="2843" max="2843" width="6.42578125" style="1" customWidth="1"/>
    <col min="2844" max="2844" width="15" style="1" customWidth="1"/>
    <col min="2845" max="2845" width="5.28515625" style="1" customWidth="1"/>
    <col min="2846" max="2848" width="4.7109375" style="1" customWidth="1"/>
    <col min="2849" max="2849" width="11.7109375" style="1" customWidth="1"/>
    <col min="2850" max="2850" width="10" style="1" customWidth="1"/>
    <col min="2851" max="2851" width="7.42578125" style="1" customWidth="1"/>
    <col min="2852" max="2852" width="7.140625" style="1" customWidth="1"/>
    <col min="2853" max="2853" width="6.42578125" style="1" customWidth="1"/>
    <col min="2854" max="3084" width="8.7109375" style="1"/>
    <col min="3085" max="3085" width="3.7109375" style="1" customWidth="1"/>
    <col min="3086" max="3086" width="4.28515625" style="1" customWidth="1"/>
    <col min="3087" max="3087" width="11.28515625" style="1" customWidth="1"/>
    <col min="3088" max="3088" width="13.42578125" style="1" customWidth="1"/>
    <col min="3089" max="3091" width="5.42578125" style="1" customWidth="1"/>
    <col min="3092" max="3092" width="8.28515625" style="1" customWidth="1"/>
    <col min="3093" max="3095" width="4.7109375" style="1" customWidth="1"/>
    <col min="3096" max="3096" width="11.7109375" style="1" customWidth="1"/>
    <col min="3097" max="3098" width="7" style="1" customWidth="1"/>
    <col min="3099" max="3099" width="6.42578125" style="1" customWidth="1"/>
    <col min="3100" max="3100" width="15" style="1" customWidth="1"/>
    <col min="3101" max="3101" width="5.28515625" style="1" customWidth="1"/>
    <col min="3102" max="3104" width="4.7109375" style="1" customWidth="1"/>
    <col min="3105" max="3105" width="11.7109375" style="1" customWidth="1"/>
    <col min="3106" max="3106" width="10" style="1" customWidth="1"/>
    <col min="3107" max="3107" width="7.42578125" style="1" customWidth="1"/>
    <col min="3108" max="3108" width="7.140625" style="1" customWidth="1"/>
    <col min="3109" max="3109" width="6.42578125" style="1" customWidth="1"/>
    <col min="3110" max="3340" width="8.7109375" style="1"/>
    <col min="3341" max="3341" width="3.7109375" style="1" customWidth="1"/>
    <col min="3342" max="3342" width="4.28515625" style="1" customWidth="1"/>
    <col min="3343" max="3343" width="11.28515625" style="1" customWidth="1"/>
    <col min="3344" max="3344" width="13.42578125" style="1" customWidth="1"/>
    <col min="3345" max="3347" width="5.42578125" style="1" customWidth="1"/>
    <col min="3348" max="3348" width="8.28515625" style="1" customWidth="1"/>
    <col min="3349" max="3351" width="4.7109375" style="1" customWidth="1"/>
    <col min="3352" max="3352" width="11.7109375" style="1" customWidth="1"/>
    <col min="3353" max="3354" width="7" style="1" customWidth="1"/>
    <col min="3355" max="3355" width="6.42578125" style="1" customWidth="1"/>
    <col min="3356" max="3356" width="15" style="1" customWidth="1"/>
    <col min="3357" max="3357" width="5.28515625" style="1" customWidth="1"/>
    <col min="3358" max="3360" width="4.7109375" style="1" customWidth="1"/>
    <col min="3361" max="3361" width="11.7109375" style="1" customWidth="1"/>
    <col min="3362" max="3362" width="10" style="1" customWidth="1"/>
    <col min="3363" max="3363" width="7.42578125" style="1" customWidth="1"/>
    <col min="3364" max="3364" width="7.140625" style="1" customWidth="1"/>
    <col min="3365" max="3365" width="6.42578125" style="1" customWidth="1"/>
    <col min="3366" max="3596" width="8.7109375" style="1"/>
    <col min="3597" max="3597" width="3.7109375" style="1" customWidth="1"/>
    <col min="3598" max="3598" width="4.28515625" style="1" customWidth="1"/>
    <col min="3599" max="3599" width="11.28515625" style="1" customWidth="1"/>
    <col min="3600" max="3600" width="13.42578125" style="1" customWidth="1"/>
    <col min="3601" max="3603" width="5.42578125" style="1" customWidth="1"/>
    <col min="3604" max="3604" width="8.28515625" style="1" customWidth="1"/>
    <col min="3605" max="3607" width="4.7109375" style="1" customWidth="1"/>
    <col min="3608" max="3608" width="11.7109375" style="1" customWidth="1"/>
    <col min="3609" max="3610" width="7" style="1" customWidth="1"/>
    <col min="3611" max="3611" width="6.42578125" style="1" customWidth="1"/>
    <col min="3612" max="3612" width="15" style="1" customWidth="1"/>
    <col min="3613" max="3613" width="5.28515625" style="1" customWidth="1"/>
    <col min="3614" max="3616" width="4.7109375" style="1" customWidth="1"/>
    <col min="3617" max="3617" width="11.7109375" style="1" customWidth="1"/>
    <col min="3618" max="3618" width="10" style="1" customWidth="1"/>
    <col min="3619" max="3619" width="7.42578125" style="1" customWidth="1"/>
    <col min="3620" max="3620" width="7.140625" style="1" customWidth="1"/>
    <col min="3621" max="3621" width="6.42578125" style="1" customWidth="1"/>
    <col min="3622" max="3852" width="8.7109375" style="1"/>
    <col min="3853" max="3853" width="3.7109375" style="1" customWidth="1"/>
    <col min="3854" max="3854" width="4.28515625" style="1" customWidth="1"/>
    <col min="3855" max="3855" width="11.28515625" style="1" customWidth="1"/>
    <col min="3856" max="3856" width="13.42578125" style="1" customWidth="1"/>
    <col min="3857" max="3859" width="5.42578125" style="1" customWidth="1"/>
    <col min="3860" max="3860" width="8.28515625" style="1" customWidth="1"/>
    <col min="3861" max="3863" width="4.7109375" style="1" customWidth="1"/>
    <col min="3864" max="3864" width="11.7109375" style="1" customWidth="1"/>
    <col min="3865" max="3866" width="7" style="1" customWidth="1"/>
    <col min="3867" max="3867" width="6.42578125" style="1" customWidth="1"/>
    <col min="3868" max="3868" width="15" style="1" customWidth="1"/>
    <col min="3869" max="3869" width="5.28515625" style="1" customWidth="1"/>
    <col min="3870" max="3872" width="4.7109375" style="1" customWidth="1"/>
    <col min="3873" max="3873" width="11.7109375" style="1" customWidth="1"/>
    <col min="3874" max="3874" width="10" style="1" customWidth="1"/>
    <col min="3875" max="3875" width="7.42578125" style="1" customWidth="1"/>
    <col min="3876" max="3876" width="7.140625" style="1" customWidth="1"/>
    <col min="3877" max="3877" width="6.42578125" style="1" customWidth="1"/>
    <col min="3878" max="4108" width="8.7109375" style="1"/>
    <col min="4109" max="4109" width="3.7109375" style="1" customWidth="1"/>
    <col min="4110" max="4110" width="4.28515625" style="1" customWidth="1"/>
    <col min="4111" max="4111" width="11.28515625" style="1" customWidth="1"/>
    <col min="4112" max="4112" width="13.42578125" style="1" customWidth="1"/>
    <col min="4113" max="4115" width="5.42578125" style="1" customWidth="1"/>
    <col min="4116" max="4116" width="8.28515625" style="1" customWidth="1"/>
    <col min="4117" max="4119" width="4.7109375" style="1" customWidth="1"/>
    <col min="4120" max="4120" width="11.7109375" style="1" customWidth="1"/>
    <col min="4121" max="4122" width="7" style="1" customWidth="1"/>
    <col min="4123" max="4123" width="6.42578125" style="1" customWidth="1"/>
    <col min="4124" max="4124" width="15" style="1" customWidth="1"/>
    <col min="4125" max="4125" width="5.28515625" style="1" customWidth="1"/>
    <col min="4126" max="4128" width="4.7109375" style="1" customWidth="1"/>
    <col min="4129" max="4129" width="11.7109375" style="1" customWidth="1"/>
    <col min="4130" max="4130" width="10" style="1" customWidth="1"/>
    <col min="4131" max="4131" width="7.42578125" style="1" customWidth="1"/>
    <col min="4132" max="4132" width="7.140625" style="1" customWidth="1"/>
    <col min="4133" max="4133" width="6.42578125" style="1" customWidth="1"/>
    <col min="4134" max="4364" width="8.7109375" style="1"/>
    <col min="4365" max="4365" width="3.7109375" style="1" customWidth="1"/>
    <col min="4366" max="4366" width="4.28515625" style="1" customWidth="1"/>
    <col min="4367" max="4367" width="11.28515625" style="1" customWidth="1"/>
    <col min="4368" max="4368" width="13.42578125" style="1" customWidth="1"/>
    <col min="4369" max="4371" width="5.42578125" style="1" customWidth="1"/>
    <col min="4372" max="4372" width="8.28515625" style="1" customWidth="1"/>
    <col min="4373" max="4375" width="4.7109375" style="1" customWidth="1"/>
    <col min="4376" max="4376" width="11.7109375" style="1" customWidth="1"/>
    <col min="4377" max="4378" width="7" style="1" customWidth="1"/>
    <col min="4379" max="4379" width="6.42578125" style="1" customWidth="1"/>
    <col min="4380" max="4380" width="15" style="1" customWidth="1"/>
    <col min="4381" max="4381" width="5.28515625" style="1" customWidth="1"/>
    <col min="4382" max="4384" width="4.7109375" style="1" customWidth="1"/>
    <col min="4385" max="4385" width="11.7109375" style="1" customWidth="1"/>
    <col min="4386" max="4386" width="10" style="1" customWidth="1"/>
    <col min="4387" max="4387" width="7.42578125" style="1" customWidth="1"/>
    <col min="4388" max="4388" width="7.140625" style="1" customWidth="1"/>
    <col min="4389" max="4389" width="6.42578125" style="1" customWidth="1"/>
    <col min="4390" max="4620" width="8.7109375" style="1"/>
    <col min="4621" max="4621" width="3.7109375" style="1" customWidth="1"/>
    <col min="4622" max="4622" width="4.28515625" style="1" customWidth="1"/>
    <col min="4623" max="4623" width="11.28515625" style="1" customWidth="1"/>
    <col min="4624" max="4624" width="13.42578125" style="1" customWidth="1"/>
    <col min="4625" max="4627" width="5.42578125" style="1" customWidth="1"/>
    <col min="4628" max="4628" width="8.28515625" style="1" customWidth="1"/>
    <col min="4629" max="4631" width="4.7109375" style="1" customWidth="1"/>
    <col min="4632" max="4632" width="11.7109375" style="1" customWidth="1"/>
    <col min="4633" max="4634" width="7" style="1" customWidth="1"/>
    <col min="4635" max="4635" width="6.42578125" style="1" customWidth="1"/>
    <col min="4636" max="4636" width="15" style="1" customWidth="1"/>
    <col min="4637" max="4637" width="5.28515625" style="1" customWidth="1"/>
    <col min="4638" max="4640" width="4.7109375" style="1" customWidth="1"/>
    <col min="4641" max="4641" width="11.7109375" style="1" customWidth="1"/>
    <col min="4642" max="4642" width="10" style="1" customWidth="1"/>
    <col min="4643" max="4643" width="7.42578125" style="1" customWidth="1"/>
    <col min="4644" max="4644" width="7.140625" style="1" customWidth="1"/>
    <col min="4645" max="4645" width="6.42578125" style="1" customWidth="1"/>
    <col min="4646" max="4876" width="8.7109375" style="1"/>
    <col min="4877" max="4877" width="3.7109375" style="1" customWidth="1"/>
    <col min="4878" max="4878" width="4.28515625" style="1" customWidth="1"/>
    <col min="4879" max="4879" width="11.28515625" style="1" customWidth="1"/>
    <col min="4880" max="4880" width="13.42578125" style="1" customWidth="1"/>
    <col min="4881" max="4883" width="5.42578125" style="1" customWidth="1"/>
    <col min="4884" max="4884" width="8.28515625" style="1" customWidth="1"/>
    <col min="4885" max="4887" width="4.7109375" style="1" customWidth="1"/>
    <col min="4888" max="4888" width="11.7109375" style="1" customWidth="1"/>
    <col min="4889" max="4890" width="7" style="1" customWidth="1"/>
    <col min="4891" max="4891" width="6.42578125" style="1" customWidth="1"/>
    <col min="4892" max="4892" width="15" style="1" customWidth="1"/>
    <col min="4893" max="4893" width="5.28515625" style="1" customWidth="1"/>
    <col min="4894" max="4896" width="4.7109375" style="1" customWidth="1"/>
    <col min="4897" max="4897" width="11.7109375" style="1" customWidth="1"/>
    <col min="4898" max="4898" width="10" style="1" customWidth="1"/>
    <col min="4899" max="4899" width="7.42578125" style="1" customWidth="1"/>
    <col min="4900" max="4900" width="7.140625" style="1" customWidth="1"/>
    <col min="4901" max="4901" width="6.42578125" style="1" customWidth="1"/>
    <col min="4902" max="5132" width="8.7109375" style="1"/>
    <col min="5133" max="5133" width="3.7109375" style="1" customWidth="1"/>
    <col min="5134" max="5134" width="4.28515625" style="1" customWidth="1"/>
    <col min="5135" max="5135" width="11.28515625" style="1" customWidth="1"/>
    <col min="5136" max="5136" width="13.42578125" style="1" customWidth="1"/>
    <col min="5137" max="5139" width="5.42578125" style="1" customWidth="1"/>
    <col min="5140" max="5140" width="8.28515625" style="1" customWidth="1"/>
    <col min="5141" max="5143" width="4.7109375" style="1" customWidth="1"/>
    <col min="5144" max="5144" width="11.7109375" style="1" customWidth="1"/>
    <col min="5145" max="5146" width="7" style="1" customWidth="1"/>
    <col min="5147" max="5147" width="6.42578125" style="1" customWidth="1"/>
    <col min="5148" max="5148" width="15" style="1" customWidth="1"/>
    <col min="5149" max="5149" width="5.28515625" style="1" customWidth="1"/>
    <col min="5150" max="5152" width="4.7109375" style="1" customWidth="1"/>
    <col min="5153" max="5153" width="11.7109375" style="1" customWidth="1"/>
    <col min="5154" max="5154" width="10" style="1" customWidth="1"/>
    <col min="5155" max="5155" width="7.42578125" style="1" customWidth="1"/>
    <col min="5156" max="5156" width="7.140625" style="1" customWidth="1"/>
    <col min="5157" max="5157" width="6.42578125" style="1" customWidth="1"/>
    <col min="5158" max="5388" width="8.7109375" style="1"/>
    <col min="5389" max="5389" width="3.7109375" style="1" customWidth="1"/>
    <col min="5390" max="5390" width="4.28515625" style="1" customWidth="1"/>
    <col min="5391" max="5391" width="11.28515625" style="1" customWidth="1"/>
    <col min="5392" max="5392" width="13.42578125" style="1" customWidth="1"/>
    <col min="5393" max="5395" width="5.42578125" style="1" customWidth="1"/>
    <col min="5396" max="5396" width="8.28515625" style="1" customWidth="1"/>
    <col min="5397" max="5399" width="4.7109375" style="1" customWidth="1"/>
    <col min="5400" max="5400" width="11.7109375" style="1" customWidth="1"/>
    <col min="5401" max="5402" width="7" style="1" customWidth="1"/>
    <col min="5403" max="5403" width="6.42578125" style="1" customWidth="1"/>
    <col min="5404" max="5404" width="15" style="1" customWidth="1"/>
    <col min="5405" max="5405" width="5.28515625" style="1" customWidth="1"/>
    <col min="5406" max="5408" width="4.7109375" style="1" customWidth="1"/>
    <col min="5409" max="5409" width="11.7109375" style="1" customWidth="1"/>
    <col min="5410" max="5410" width="10" style="1" customWidth="1"/>
    <col min="5411" max="5411" width="7.42578125" style="1" customWidth="1"/>
    <col min="5412" max="5412" width="7.140625" style="1" customWidth="1"/>
    <col min="5413" max="5413" width="6.42578125" style="1" customWidth="1"/>
    <col min="5414" max="5644" width="8.7109375" style="1"/>
    <col min="5645" max="5645" width="3.7109375" style="1" customWidth="1"/>
    <col min="5646" max="5646" width="4.28515625" style="1" customWidth="1"/>
    <col min="5647" max="5647" width="11.28515625" style="1" customWidth="1"/>
    <col min="5648" max="5648" width="13.42578125" style="1" customWidth="1"/>
    <col min="5649" max="5651" width="5.42578125" style="1" customWidth="1"/>
    <col min="5652" max="5652" width="8.28515625" style="1" customWidth="1"/>
    <col min="5653" max="5655" width="4.7109375" style="1" customWidth="1"/>
    <col min="5656" max="5656" width="11.7109375" style="1" customWidth="1"/>
    <col min="5657" max="5658" width="7" style="1" customWidth="1"/>
    <col min="5659" max="5659" width="6.42578125" style="1" customWidth="1"/>
    <col min="5660" max="5660" width="15" style="1" customWidth="1"/>
    <col min="5661" max="5661" width="5.28515625" style="1" customWidth="1"/>
    <col min="5662" max="5664" width="4.7109375" style="1" customWidth="1"/>
    <col min="5665" max="5665" width="11.7109375" style="1" customWidth="1"/>
    <col min="5666" max="5666" width="10" style="1" customWidth="1"/>
    <col min="5667" max="5667" width="7.42578125" style="1" customWidth="1"/>
    <col min="5668" max="5668" width="7.140625" style="1" customWidth="1"/>
    <col min="5669" max="5669" width="6.42578125" style="1" customWidth="1"/>
    <col min="5670" max="5900" width="8.7109375" style="1"/>
    <col min="5901" max="5901" width="3.7109375" style="1" customWidth="1"/>
    <col min="5902" max="5902" width="4.28515625" style="1" customWidth="1"/>
    <col min="5903" max="5903" width="11.28515625" style="1" customWidth="1"/>
    <col min="5904" max="5904" width="13.42578125" style="1" customWidth="1"/>
    <col min="5905" max="5907" width="5.42578125" style="1" customWidth="1"/>
    <col min="5908" max="5908" width="8.28515625" style="1" customWidth="1"/>
    <col min="5909" max="5911" width="4.7109375" style="1" customWidth="1"/>
    <col min="5912" max="5912" width="11.7109375" style="1" customWidth="1"/>
    <col min="5913" max="5914" width="7" style="1" customWidth="1"/>
    <col min="5915" max="5915" width="6.42578125" style="1" customWidth="1"/>
    <col min="5916" max="5916" width="15" style="1" customWidth="1"/>
    <col min="5917" max="5917" width="5.28515625" style="1" customWidth="1"/>
    <col min="5918" max="5920" width="4.7109375" style="1" customWidth="1"/>
    <col min="5921" max="5921" width="11.7109375" style="1" customWidth="1"/>
    <col min="5922" max="5922" width="10" style="1" customWidth="1"/>
    <col min="5923" max="5923" width="7.42578125" style="1" customWidth="1"/>
    <col min="5924" max="5924" width="7.140625" style="1" customWidth="1"/>
    <col min="5925" max="5925" width="6.42578125" style="1" customWidth="1"/>
    <col min="5926" max="6156" width="8.7109375" style="1"/>
    <col min="6157" max="6157" width="3.7109375" style="1" customWidth="1"/>
    <col min="6158" max="6158" width="4.28515625" style="1" customWidth="1"/>
    <col min="6159" max="6159" width="11.28515625" style="1" customWidth="1"/>
    <col min="6160" max="6160" width="13.42578125" style="1" customWidth="1"/>
    <col min="6161" max="6163" width="5.42578125" style="1" customWidth="1"/>
    <col min="6164" max="6164" width="8.28515625" style="1" customWidth="1"/>
    <col min="6165" max="6167" width="4.7109375" style="1" customWidth="1"/>
    <col min="6168" max="6168" width="11.7109375" style="1" customWidth="1"/>
    <col min="6169" max="6170" width="7" style="1" customWidth="1"/>
    <col min="6171" max="6171" width="6.42578125" style="1" customWidth="1"/>
    <col min="6172" max="6172" width="15" style="1" customWidth="1"/>
    <col min="6173" max="6173" width="5.28515625" style="1" customWidth="1"/>
    <col min="6174" max="6176" width="4.7109375" style="1" customWidth="1"/>
    <col min="6177" max="6177" width="11.7109375" style="1" customWidth="1"/>
    <col min="6178" max="6178" width="10" style="1" customWidth="1"/>
    <col min="6179" max="6179" width="7.42578125" style="1" customWidth="1"/>
    <col min="6180" max="6180" width="7.140625" style="1" customWidth="1"/>
    <col min="6181" max="6181" width="6.42578125" style="1" customWidth="1"/>
    <col min="6182" max="6412" width="8.7109375" style="1"/>
    <col min="6413" max="6413" width="3.7109375" style="1" customWidth="1"/>
    <col min="6414" max="6414" width="4.28515625" style="1" customWidth="1"/>
    <col min="6415" max="6415" width="11.28515625" style="1" customWidth="1"/>
    <col min="6416" max="6416" width="13.42578125" style="1" customWidth="1"/>
    <col min="6417" max="6419" width="5.42578125" style="1" customWidth="1"/>
    <col min="6420" max="6420" width="8.28515625" style="1" customWidth="1"/>
    <col min="6421" max="6423" width="4.7109375" style="1" customWidth="1"/>
    <col min="6424" max="6424" width="11.7109375" style="1" customWidth="1"/>
    <col min="6425" max="6426" width="7" style="1" customWidth="1"/>
    <col min="6427" max="6427" width="6.42578125" style="1" customWidth="1"/>
    <col min="6428" max="6428" width="15" style="1" customWidth="1"/>
    <col min="6429" max="6429" width="5.28515625" style="1" customWidth="1"/>
    <col min="6430" max="6432" width="4.7109375" style="1" customWidth="1"/>
    <col min="6433" max="6433" width="11.7109375" style="1" customWidth="1"/>
    <col min="6434" max="6434" width="10" style="1" customWidth="1"/>
    <col min="6435" max="6435" width="7.42578125" style="1" customWidth="1"/>
    <col min="6436" max="6436" width="7.140625" style="1" customWidth="1"/>
    <col min="6437" max="6437" width="6.42578125" style="1" customWidth="1"/>
    <col min="6438" max="6668" width="8.7109375" style="1"/>
    <col min="6669" max="6669" width="3.7109375" style="1" customWidth="1"/>
    <col min="6670" max="6670" width="4.28515625" style="1" customWidth="1"/>
    <col min="6671" max="6671" width="11.28515625" style="1" customWidth="1"/>
    <col min="6672" max="6672" width="13.42578125" style="1" customWidth="1"/>
    <col min="6673" max="6675" width="5.42578125" style="1" customWidth="1"/>
    <col min="6676" max="6676" width="8.28515625" style="1" customWidth="1"/>
    <col min="6677" max="6679" width="4.7109375" style="1" customWidth="1"/>
    <col min="6680" max="6680" width="11.7109375" style="1" customWidth="1"/>
    <col min="6681" max="6682" width="7" style="1" customWidth="1"/>
    <col min="6683" max="6683" width="6.42578125" style="1" customWidth="1"/>
    <col min="6684" max="6684" width="15" style="1" customWidth="1"/>
    <col min="6685" max="6685" width="5.28515625" style="1" customWidth="1"/>
    <col min="6686" max="6688" width="4.7109375" style="1" customWidth="1"/>
    <col min="6689" max="6689" width="11.7109375" style="1" customWidth="1"/>
    <col min="6690" max="6690" width="10" style="1" customWidth="1"/>
    <col min="6691" max="6691" width="7.42578125" style="1" customWidth="1"/>
    <col min="6692" max="6692" width="7.140625" style="1" customWidth="1"/>
    <col min="6693" max="6693" width="6.42578125" style="1" customWidth="1"/>
    <col min="6694" max="6924" width="8.7109375" style="1"/>
    <col min="6925" max="6925" width="3.7109375" style="1" customWidth="1"/>
    <col min="6926" max="6926" width="4.28515625" style="1" customWidth="1"/>
    <col min="6927" max="6927" width="11.28515625" style="1" customWidth="1"/>
    <col min="6928" max="6928" width="13.42578125" style="1" customWidth="1"/>
    <col min="6929" max="6931" width="5.42578125" style="1" customWidth="1"/>
    <col min="6932" max="6932" width="8.28515625" style="1" customWidth="1"/>
    <col min="6933" max="6935" width="4.7109375" style="1" customWidth="1"/>
    <col min="6936" max="6936" width="11.7109375" style="1" customWidth="1"/>
    <col min="6937" max="6938" width="7" style="1" customWidth="1"/>
    <col min="6939" max="6939" width="6.42578125" style="1" customWidth="1"/>
    <col min="6940" max="6940" width="15" style="1" customWidth="1"/>
    <col min="6941" max="6941" width="5.28515625" style="1" customWidth="1"/>
    <col min="6942" max="6944" width="4.7109375" style="1" customWidth="1"/>
    <col min="6945" max="6945" width="11.7109375" style="1" customWidth="1"/>
    <col min="6946" max="6946" width="10" style="1" customWidth="1"/>
    <col min="6947" max="6947" width="7.42578125" style="1" customWidth="1"/>
    <col min="6948" max="6948" width="7.140625" style="1" customWidth="1"/>
    <col min="6949" max="6949" width="6.42578125" style="1" customWidth="1"/>
    <col min="6950" max="7180" width="8.7109375" style="1"/>
    <col min="7181" max="7181" width="3.7109375" style="1" customWidth="1"/>
    <col min="7182" max="7182" width="4.28515625" style="1" customWidth="1"/>
    <col min="7183" max="7183" width="11.28515625" style="1" customWidth="1"/>
    <col min="7184" max="7184" width="13.42578125" style="1" customWidth="1"/>
    <col min="7185" max="7187" width="5.42578125" style="1" customWidth="1"/>
    <col min="7188" max="7188" width="8.28515625" style="1" customWidth="1"/>
    <col min="7189" max="7191" width="4.7109375" style="1" customWidth="1"/>
    <col min="7192" max="7192" width="11.7109375" style="1" customWidth="1"/>
    <col min="7193" max="7194" width="7" style="1" customWidth="1"/>
    <col min="7195" max="7195" width="6.42578125" style="1" customWidth="1"/>
    <col min="7196" max="7196" width="15" style="1" customWidth="1"/>
    <col min="7197" max="7197" width="5.28515625" style="1" customWidth="1"/>
    <col min="7198" max="7200" width="4.7109375" style="1" customWidth="1"/>
    <col min="7201" max="7201" width="11.7109375" style="1" customWidth="1"/>
    <col min="7202" max="7202" width="10" style="1" customWidth="1"/>
    <col min="7203" max="7203" width="7.42578125" style="1" customWidth="1"/>
    <col min="7204" max="7204" width="7.140625" style="1" customWidth="1"/>
    <col min="7205" max="7205" width="6.42578125" style="1" customWidth="1"/>
    <col min="7206" max="7436" width="8.7109375" style="1"/>
    <col min="7437" max="7437" width="3.7109375" style="1" customWidth="1"/>
    <col min="7438" max="7438" width="4.28515625" style="1" customWidth="1"/>
    <col min="7439" max="7439" width="11.28515625" style="1" customWidth="1"/>
    <col min="7440" max="7440" width="13.42578125" style="1" customWidth="1"/>
    <col min="7441" max="7443" width="5.42578125" style="1" customWidth="1"/>
    <col min="7444" max="7444" width="8.28515625" style="1" customWidth="1"/>
    <col min="7445" max="7447" width="4.7109375" style="1" customWidth="1"/>
    <col min="7448" max="7448" width="11.7109375" style="1" customWidth="1"/>
    <col min="7449" max="7450" width="7" style="1" customWidth="1"/>
    <col min="7451" max="7451" width="6.42578125" style="1" customWidth="1"/>
    <col min="7452" max="7452" width="15" style="1" customWidth="1"/>
    <col min="7453" max="7453" width="5.28515625" style="1" customWidth="1"/>
    <col min="7454" max="7456" width="4.7109375" style="1" customWidth="1"/>
    <col min="7457" max="7457" width="11.7109375" style="1" customWidth="1"/>
    <col min="7458" max="7458" width="10" style="1" customWidth="1"/>
    <col min="7459" max="7459" width="7.42578125" style="1" customWidth="1"/>
    <col min="7460" max="7460" width="7.140625" style="1" customWidth="1"/>
    <col min="7461" max="7461" width="6.42578125" style="1" customWidth="1"/>
    <col min="7462" max="7692" width="8.7109375" style="1"/>
    <col min="7693" max="7693" width="3.7109375" style="1" customWidth="1"/>
    <col min="7694" max="7694" width="4.28515625" style="1" customWidth="1"/>
    <col min="7695" max="7695" width="11.28515625" style="1" customWidth="1"/>
    <col min="7696" max="7696" width="13.42578125" style="1" customWidth="1"/>
    <col min="7697" max="7699" width="5.42578125" style="1" customWidth="1"/>
    <col min="7700" max="7700" width="8.28515625" style="1" customWidth="1"/>
    <col min="7701" max="7703" width="4.7109375" style="1" customWidth="1"/>
    <col min="7704" max="7704" width="11.7109375" style="1" customWidth="1"/>
    <col min="7705" max="7706" width="7" style="1" customWidth="1"/>
    <col min="7707" max="7707" width="6.42578125" style="1" customWidth="1"/>
    <col min="7708" max="7708" width="15" style="1" customWidth="1"/>
    <col min="7709" max="7709" width="5.28515625" style="1" customWidth="1"/>
    <col min="7710" max="7712" width="4.7109375" style="1" customWidth="1"/>
    <col min="7713" max="7713" width="11.7109375" style="1" customWidth="1"/>
    <col min="7714" max="7714" width="10" style="1" customWidth="1"/>
    <col min="7715" max="7715" width="7.42578125" style="1" customWidth="1"/>
    <col min="7716" max="7716" width="7.140625" style="1" customWidth="1"/>
    <col min="7717" max="7717" width="6.42578125" style="1" customWidth="1"/>
    <col min="7718" max="7948" width="8.7109375" style="1"/>
    <col min="7949" max="7949" width="3.7109375" style="1" customWidth="1"/>
    <col min="7950" max="7950" width="4.28515625" style="1" customWidth="1"/>
    <col min="7951" max="7951" width="11.28515625" style="1" customWidth="1"/>
    <col min="7952" max="7952" width="13.42578125" style="1" customWidth="1"/>
    <col min="7953" max="7955" width="5.42578125" style="1" customWidth="1"/>
    <col min="7956" max="7956" width="8.28515625" style="1" customWidth="1"/>
    <col min="7957" max="7959" width="4.7109375" style="1" customWidth="1"/>
    <col min="7960" max="7960" width="11.7109375" style="1" customWidth="1"/>
    <col min="7961" max="7962" width="7" style="1" customWidth="1"/>
    <col min="7963" max="7963" width="6.42578125" style="1" customWidth="1"/>
    <col min="7964" max="7964" width="15" style="1" customWidth="1"/>
    <col min="7965" max="7965" width="5.28515625" style="1" customWidth="1"/>
    <col min="7966" max="7968" width="4.7109375" style="1" customWidth="1"/>
    <col min="7969" max="7969" width="11.7109375" style="1" customWidth="1"/>
    <col min="7970" max="7970" width="10" style="1" customWidth="1"/>
    <col min="7971" max="7971" width="7.42578125" style="1" customWidth="1"/>
    <col min="7972" max="7972" width="7.140625" style="1" customWidth="1"/>
    <col min="7973" max="7973" width="6.42578125" style="1" customWidth="1"/>
    <col min="7974" max="8204" width="8.7109375" style="1"/>
    <col min="8205" max="8205" width="3.7109375" style="1" customWidth="1"/>
    <col min="8206" max="8206" width="4.28515625" style="1" customWidth="1"/>
    <col min="8207" max="8207" width="11.28515625" style="1" customWidth="1"/>
    <col min="8208" max="8208" width="13.42578125" style="1" customWidth="1"/>
    <col min="8209" max="8211" width="5.42578125" style="1" customWidth="1"/>
    <col min="8212" max="8212" width="8.28515625" style="1" customWidth="1"/>
    <col min="8213" max="8215" width="4.7109375" style="1" customWidth="1"/>
    <col min="8216" max="8216" width="11.7109375" style="1" customWidth="1"/>
    <col min="8217" max="8218" width="7" style="1" customWidth="1"/>
    <col min="8219" max="8219" width="6.42578125" style="1" customWidth="1"/>
    <col min="8220" max="8220" width="15" style="1" customWidth="1"/>
    <col min="8221" max="8221" width="5.28515625" style="1" customWidth="1"/>
    <col min="8222" max="8224" width="4.7109375" style="1" customWidth="1"/>
    <col min="8225" max="8225" width="11.7109375" style="1" customWidth="1"/>
    <col min="8226" max="8226" width="10" style="1" customWidth="1"/>
    <col min="8227" max="8227" width="7.42578125" style="1" customWidth="1"/>
    <col min="8228" max="8228" width="7.140625" style="1" customWidth="1"/>
    <col min="8229" max="8229" width="6.42578125" style="1" customWidth="1"/>
    <col min="8230" max="8460" width="8.7109375" style="1"/>
    <col min="8461" max="8461" width="3.7109375" style="1" customWidth="1"/>
    <col min="8462" max="8462" width="4.28515625" style="1" customWidth="1"/>
    <col min="8463" max="8463" width="11.28515625" style="1" customWidth="1"/>
    <col min="8464" max="8464" width="13.42578125" style="1" customWidth="1"/>
    <col min="8465" max="8467" width="5.42578125" style="1" customWidth="1"/>
    <col min="8468" max="8468" width="8.28515625" style="1" customWidth="1"/>
    <col min="8469" max="8471" width="4.7109375" style="1" customWidth="1"/>
    <col min="8472" max="8472" width="11.7109375" style="1" customWidth="1"/>
    <col min="8473" max="8474" width="7" style="1" customWidth="1"/>
    <col min="8475" max="8475" width="6.42578125" style="1" customWidth="1"/>
    <col min="8476" max="8476" width="15" style="1" customWidth="1"/>
    <col min="8477" max="8477" width="5.28515625" style="1" customWidth="1"/>
    <col min="8478" max="8480" width="4.7109375" style="1" customWidth="1"/>
    <col min="8481" max="8481" width="11.7109375" style="1" customWidth="1"/>
    <col min="8482" max="8482" width="10" style="1" customWidth="1"/>
    <col min="8483" max="8483" width="7.42578125" style="1" customWidth="1"/>
    <col min="8484" max="8484" width="7.140625" style="1" customWidth="1"/>
    <col min="8485" max="8485" width="6.42578125" style="1" customWidth="1"/>
    <col min="8486" max="8716" width="8.7109375" style="1"/>
    <col min="8717" max="8717" width="3.7109375" style="1" customWidth="1"/>
    <col min="8718" max="8718" width="4.28515625" style="1" customWidth="1"/>
    <col min="8719" max="8719" width="11.28515625" style="1" customWidth="1"/>
    <col min="8720" max="8720" width="13.42578125" style="1" customWidth="1"/>
    <col min="8721" max="8723" width="5.42578125" style="1" customWidth="1"/>
    <col min="8724" max="8724" width="8.28515625" style="1" customWidth="1"/>
    <col min="8725" max="8727" width="4.7109375" style="1" customWidth="1"/>
    <col min="8728" max="8728" width="11.7109375" style="1" customWidth="1"/>
    <col min="8729" max="8730" width="7" style="1" customWidth="1"/>
    <col min="8731" max="8731" width="6.42578125" style="1" customWidth="1"/>
    <col min="8732" max="8732" width="15" style="1" customWidth="1"/>
    <col min="8733" max="8733" width="5.28515625" style="1" customWidth="1"/>
    <col min="8734" max="8736" width="4.7109375" style="1" customWidth="1"/>
    <col min="8737" max="8737" width="11.7109375" style="1" customWidth="1"/>
    <col min="8738" max="8738" width="10" style="1" customWidth="1"/>
    <col min="8739" max="8739" width="7.42578125" style="1" customWidth="1"/>
    <col min="8740" max="8740" width="7.140625" style="1" customWidth="1"/>
    <col min="8741" max="8741" width="6.42578125" style="1" customWidth="1"/>
    <col min="8742" max="8972" width="8.7109375" style="1"/>
    <col min="8973" max="8973" width="3.7109375" style="1" customWidth="1"/>
    <col min="8974" max="8974" width="4.28515625" style="1" customWidth="1"/>
    <col min="8975" max="8975" width="11.28515625" style="1" customWidth="1"/>
    <col min="8976" max="8976" width="13.42578125" style="1" customWidth="1"/>
    <col min="8977" max="8979" width="5.42578125" style="1" customWidth="1"/>
    <col min="8980" max="8980" width="8.28515625" style="1" customWidth="1"/>
    <col min="8981" max="8983" width="4.7109375" style="1" customWidth="1"/>
    <col min="8984" max="8984" width="11.7109375" style="1" customWidth="1"/>
    <col min="8985" max="8986" width="7" style="1" customWidth="1"/>
    <col min="8987" max="8987" width="6.42578125" style="1" customWidth="1"/>
    <col min="8988" max="8988" width="15" style="1" customWidth="1"/>
    <col min="8989" max="8989" width="5.28515625" style="1" customWidth="1"/>
    <col min="8990" max="8992" width="4.7109375" style="1" customWidth="1"/>
    <col min="8993" max="8993" width="11.7109375" style="1" customWidth="1"/>
    <col min="8994" max="8994" width="10" style="1" customWidth="1"/>
    <col min="8995" max="8995" width="7.42578125" style="1" customWidth="1"/>
    <col min="8996" max="8996" width="7.140625" style="1" customWidth="1"/>
    <col min="8997" max="8997" width="6.42578125" style="1" customWidth="1"/>
    <col min="8998" max="9228" width="8.7109375" style="1"/>
    <col min="9229" max="9229" width="3.7109375" style="1" customWidth="1"/>
    <col min="9230" max="9230" width="4.28515625" style="1" customWidth="1"/>
    <col min="9231" max="9231" width="11.28515625" style="1" customWidth="1"/>
    <col min="9232" max="9232" width="13.42578125" style="1" customWidth="1"/>
    <col min="9233" max="9235" width="5.42578125" style="1" customWidth="1"/>
    <col min="9236" max="9236" width="8.28515625" style="1" customWidth="1"/>
    <col min="9237" max="9239" width="4.7109375" style="1" customWidth="1"/>
    <col min="9240" max="9240" width="11.7109375" style="1" customWidth="1"/>
    <col min="9241" max="9242" width="7" style="1" customWidth="1"/>
    <col min="9243" max="9243" width="6.42578125" style="1" customWidth="1"/>
    <col min="9244" max="9244" width="15" style="1" customWidth="1"/>
    <col min="9245" max="9245" width="5.28515625" style="1" customWidth="1"/>
    <col min="9246" max="9248" width="4.7109375" style="1" customWidth="1"/>
    <col min="9249" max="9249" width="11.7109375" style="1" customWidth="1"/>
    <col min="9250" max="9250" width="10" style="1" customWidth="1"/>
    <col min="9251" max="9251" width="7.42578125" style="1" customWidth="1"/>
    <col min="9252" max="9252" width="7.140625" style="1" customWidth="1"/>
    <col min="9253" max="9253" width="6.42578125" style="1" customWidth="1"/>
    <col min="9254" max="9484" width="8.7109375" style="1"/>
    <col min="9485" max="9485" width="3.7109375" style="1" customWidth="1"/>
    <col min="9486" max="9486" width="4.28515625" style="1" customWidth="1"/>
    <col min="9487" max="9487" width="11.28515625" style="1" customWidth="1"/>
    <col min="9488" max="9488" width="13.42578125" style="1" customWidth="1"/>
    <col min="9489" max="9491" width="5.42578125" style="1" customWidth="1"/>
    <col min="9492" max="9492" width="8.28515625" style="1" customWidth="1"/>
    <col min="9493" max="9495" width="4.7109375" style="1" customWidth="1"/>
    <col min="9496" max="9496" width="11.7109375" style="1" customWidth="1"/>
    <col min="9497" max="9498" width="7" style="1" customWidth="1"/>
    <col min="9499" max="9499" width="6.42578125" style="1" customWidth="1"/>
    <col min="9500" max="9500" width="15" style="1" customWidth="1"/>
    <col min="9501" max="9501" width="5.28515625" style="1" customWidth="1"/>
    <col min="9502" max="9504" width="4.7109375" style="1" customWidth="1"/>
    <col min="9505" max="9505" width="11.7109375" style="1" customWidth="1"/>
    <col min="9506" max="9506" width="10" style="1" customWidth="1"/>
    <col min="9507" max="9507" width="7.42578125" style="1" customWidth="1"/>
    <col min="9508" max="9508" width="7.140625" style="1" customWidth="1"/>
    <col min="9509" max="9509" width="6.42578125" style="1" customWidth="1"/>
    <col min="9510" max="9740" width="8.7109375" style="1"/>
    <col min="9741" max="9741" width="3.7109375" style="1" customWidth="1"/>
    <col min="9742" max="9742" width="4.28515625" style="1" customWidth="1"/>
    <col min="9743" max="9743" width="11.28515625" style="1" customWidth="1"/>
    <col min="9744" max="9744" width="13.42578125" style="1" customWidth="1"/>
    <col min="9745" max="9747" width="5.42578125" style="1" customWidth="1"/>
    <col min="9748" max="9748" width="8.28515625" style="1" customWidth="1"/>
    <col min="9749" max="9751" width="4.7109375" style="1" customWidth="1"/>
    <col min="9752" max="9752" width="11.7109375" style="1" customWidth="1"/>
    <col min="9753" max="9754" width="7" style="1" customWidth="1"/>
    <col min="9755" max="9755" width="6.42578125" style="1" customWidth="1"/>
    <col min="9756" max="9756" width="15" style="1" customWidth="1"/>
    <col min="9757" max="9757" width="5.28515625" style="1" customWidth="1"/>
    <col min="9758" max="9760" width="4.7109375" style="1" customWidth="1"/>
    <col min="9761" max="9761" width="11.7109375" style="1" customWidth="1"/>
    <col min="9762" max="9762" width="10" style="1" customWidth="1"/>
    <col min="9763" max="9763" width="7.42578125" style="1" customWidth="1"/>
    <col min="9764" max="9764" width="7.140625" style="1" customWidth="1"/>
    <col min="9765" max="9765" width="6.42578125" style="1" customWidth="1"/>
    <col min="9766" max="9996" width="8.7109375" style="1"/>
    <col min="9997" max="9997" width="3.7109375" style="1" customWidth="1"/>
    <col min="9998" max="9998" width="4.28515625" style="1" customWidth="1"/>
    <col min="9999" max="9999" width="11.28515625" style="1" customWidth="1"/>
    <col min="10000" max="10000" width="13.42578125" style="1" customWidth="1"/>
    <col min="10001" max="10003" width="5.42578125" style="1" customWidth="1"/>
    <col min="10004" max="10004" width="8.28515625" style="1" customWidth="1"/>
    <col min="10005" max="10007" width="4.7109375" style="1" customWidth="1"/>
    <col min="10008" max="10008" width="11.7109375" style="1" customWidth="1"/>
    <col min="10009" max="10010" width="7" style="1" customWidth="1"/>
    <col min="10011" max="10011" width="6.42578125" style="1" customWidth="1"/>
    <col min="10012" max="10012" width="15" style="1" customWidth="1"/>
    <col min="10013" max="10013" width="5.28515625" style="1" customWidth="1"/>
    <col min="10014" max="10016" width="4.7109375" style="1" customWidth="1"/>
    <col min="10017" max="10017" width="11.7109375" style="1" customWidth="1"/>
    <col min="10018" max="10018" width="10" style="1" customWidth="1"/>
    <col min="10019" max="10019" width="7.42578125" style="1" customWidth="1"/>
    <col min="10020" max="10020" width="7.140625" style="1" customWidth="1"/>
    <col min="10021" max="10021" width="6.42578125" style="1" customWidth="1"/>
    <col min="10022" max="10252" width="8.7109375" style="1"/>
    <col min="10253" max="10253" width="3.7109375" style="1" customWidth="1"/>
    <col min="10254" max="10254" width="4.28515625" style="1" customWidth="1"/>
    <col min="10255" max="10255" width="11.28515625" style="1" customWidth="1"/>
    <col min="10256" max="10256" width="13.42578125" style="1" customWidth="1"/>
    <col min="10257" max="10259" width="5.42578125" style="1" customWidth="1"/>
    <col min="10260" max="10260" width="8.28515625" style="1" customWidth="1"/>
    <col min="10261" max="10263" width="4.7109375" style="1" customWidth="1"/>
    <col min="10264" max="10264" width="11.7109375" style="1" customWidth="1"/>
    <col min="10265" max="10266" width="7" style="1" customWidth="1"/>
    <col min="10267" max="10267" width="6.42578125" style="1" customWidth="1"/>
    <col min="10268" max="10268" width="15" style="1" customWidth="1"/>
    <col min="10269" max="10269" width="5.28515625" style="1" customWidth="1"/>
    <col min="10270" max="10272" width="4.7109375" style="1" customWidth="1"/>
    <col min="10273" max="10273" width="11.7109375" style="1" customWidth="1"/>
    <col min="10274" max="10274" width="10" style="1" customWidth="1"/>
    <col min="10275" max="10275" width="7.42578125" style="1" customWidth="1"/>
    <col min="10276" max="10276" width="7.140625" style="1" customWidth="1"/>
    <col min="10277" max="10277" width="6.42578125" style="1" customWidth="1"/>
    <col min="10278" max="10508" width="8.7109375" style="1"/>
    <col min="10509" max="10509" width="3.7109375" style="1" customWidth="1"/>
    <col min="10510" max="10510" width="4.28515625" style="1" customWidth="1"/>
    <col min="10511" max="10511" width="11.28515625" style="1" customWidth="1"/>
    <col min="10512" max="10512" width="13.42578125" style="1" customWidth="1"/>
    <col min="10513" max="10515" width="5.42578125" style="1" customWidth="1"/>
    <col min="10516" max="10516" width="8.28515625" style="1" customWidth="1"/>
    <col min="10517" max="10519" width="4.7109375" style="1" customWidth="1"/>
    <col min="10520" max="10520" width="11.7109375" style="1" customWidth="1"/>
    <col min="10521" max="10522" width="7" style="1" customWidth="1"/>
    <col min="10523" max="10523" width="6.42578125" style="1" customWidth="1"/>
    <col min="10524" max="10524" width="15" style="1" customWidth="1"/>
    <col min="10525" max="10525" width="5.28515625" style="1" customWidth="1"/>
    <col min="10526" max="10528" width="4.7109375" style="1" customWidth="1"/>
    <col min="10529" max="10529" width="11.7109375" style="1" customWidth="1"/>
    <col min="10530" max="10530" width="10" style="1" customWidth="1"/>
    <col min="10531" max="10531" width="7.42578125" style="1" customWidth="1"/>
    <col min="10532" max="10532" width="7.140625" style="1" customWidth="1"/>
    <col min="10533" max="10533" width="6.42578125" style="1" customWidth="1"/>
    <col min="10534" max="10764" width="8.7109375" style="1"/>
    <col min="10765" max="10765" width="3.7109375" style="1" customWidth="1"/>
    <col min="10766" max="10766" width="4.28515625" style="1" customWidth="1"/>
    <col min="10767" max="10767" width="11.28515625" style="1" customWidth="1"/>
    <col min="10768" max="10768" width="13.42578125" style="1" customWidth="1"/>
    <col min="10769" max="10771" width="5.42578125" style="1" customWidth="1"/>
    <col min="10772" max="10772" width="8.28515625" style="1" customWidth="1"/>
    <col min="10773" max="10775" width="4.7109375" style="1" customWidth="1"/>
    <col min="10776" max="10776" width="11.7109375" style="1" customWidth="1"/>
    <col min="10777" max="10778" width="7" style="1" customWidth="1"/>
    <col min="10779" max="10779" width="6.42578125" style="1" customWidth="1"/>
    <col min="10780" max="10780" width="15" style="1" customWidth="1"/>
    <col min="10781" max="10781" width="5.28515625" style="1" customWidth="1"/>
    <col min="10782" max="10784" width="4.7109375" style="1" customWidth="1"/>
    <col min="10785" max="10785" width="11.7109375" style="1" customWidth="1"/>
    <col min="10786" max="10786" width="10" style="1" customWidth="1"/>
    <col min="10787" max="10787" width="7.42578125" style="1" customWidth="1"/>
    <col min="10788" max="10788" width="7.140625" style="1" customWidth="1"/>
    <col min="10789" max="10789" width="6.42578125" style="1" customWidth="1"/>
    <col min="10790" max="11020" width="8.7109375" style="1"/>
    <col min="11021" max="11021" width="3.7109375" style="1" customWidth="1"/>
    <col min="11022" max="11022" width="4.28515625" style="1" customWidth="1"/>
    <col min="11023" max="11023" width="11.28515625" style="1" customWidth="1"/>
    <col min="11024" max="11024" width="13.42578125" style="1" customWidth="1"/>
    <col min="11025" max="11027" width="5.42578125" style="1" customWidth="1"/>
    <col min="11028" max="11028" width="8.28515625" style="1" customWidth="1"/>
    <col min="11029" max="11031" width="4.7109375" style="1" customWidth="1"/>
    <col min="11032" max="11032" width="11.7109375" style="1" customWidth="1"/>
    <col min="11033" max="11034" width="7" style="1" customWidth="1"/>
    <col min="11035" max="11035" width="6.42578125" style="1" customWidth="1"/>
    <col min="11036" max="11036" width="15" style="1" customWidth="1"/>
    <col min="11037" max="11037" width="5.28515625" style="1" customWidth="1"/>
    <col min="11038" max="11040" width="4.7109375" style="1" customWidth="1"/>
    <col min="11041" max="11041" width="11.7109375" style="1" customWidth="1"/>
    <col min="11042" max="11042" width="10" style="1" customWidth="1"/>
    <col min="11043" max="11043" width="7.42578125" style="1" customWidth="1"/>
    <col min="11044" max="11044" width="7.140625" style="1" customWidth="1"/>
    <col min="11045" max="11045" width="6.42578125" style="1" customWidth="1"/>
    <col min="11046" max="11276" width="8.7109375" style="1"/>
    <col min="11277" max="11277" width="3.7109375" style="1" customWidth="1"/>
    <col min="11278" max="11278" width="4.28515625" style="1" customWidth="1"/>
    <col min="11279" max="11279" width="11.28515625" style="1" customWidth="1"/>
    <col min="11280" max="11280" width="13.42578125" style="1" customWidth="1"/>
    <col min="11281" max="11283" width="5.42578125" style="1" customWidth="1"/>
    <col min="11284" max="11284" width="8.28515625" style="1" customWidth="1"/>
    <col min="11285" max="11287" width="4.7109375" style="1" customWidth="1"/>
    <col min="11288" max="11288" width="11.7109375" style="1" customWidth="1"/>
    <col min="11289" max="11290" width="7" style="1" customWidth="1"/>
    <col min="11291" max="11291" width="6.42578125" style="1" customWidth="1"/>
    <col min="11292" max="11292" width="15" style="1" customWidth="1"/>
    <col min="11293" max="11293" width="5.28515625" style="1" customWidth="1"/>
    <col min="11294" max="11296" width="4.7109375" style="1" customWidth="1"/>
    <col min="11297" max="11297" width="11.7109375" style="1" customWidth="1"/>
    <col min="11298" max="11298" width="10" style="1" customWidth="1"/>
    <col min="11299" max="11299" width="7.42578125" style="1" customWidth="1"/>
    <col min="11300" max="11300" width="7.140625" style="1" customWidth="1"/>
    <col min="11301" max="11301" width="6.42578125" style="1" customWidth="1"/>
    <col min="11302" max="11532" width="8.7109375" style="1"/>
    <col min="11533" max="11533" width="3.7109375" style="1" customWidth="1"/>
    <col min="11534" max="11534" width="4.28515625" style="1" customWidth="1"/>
    <col min="11535" max="11535" width="11.28515625" style="1" customWidth="1"/>
    <col min="11536" max="11536" width="13.42578125" style="1" customWidth="1"/>
    <col min="11537" max="11539" width="5.42578125" style="1" customWidth="1"/>
    <col min="11540" max="11540" width="8.28515625" style="1" customWidth="1"/>
    <col min="11541" max="11543" width="4.7109375" style="1" customWidth="1"/>
    <col min="11544" max="11544" width="11.7109375" style="1" customWidth="1"/>
    <col min="11545" max="11546" width="7" style="1" customWidth="1"/>
    <col min="11547" max="11547" width="6.42578125" style="1" customWidth="1"/>
    <col min="11548" max="11548" width="15" style="1" customWidth="1"/>
    <col min="11549" max="11549" width="5.28515625" style="1" customWidth="1"/>
    <col min="11550" max="11552" width="4.7109375" style="1" customWidth="1"/>
    <col min="11553" max="11553" width="11.7109375" style="1" customWidth="1"/>
    <col min="11554" max="11554" width="10" style="1" customWidth="1"/>
    <col min="11555" max="11555" width="7.42578125" style="1" customWidth="1"/>
    <col min="11556" max="11556" width="7.140625" style="1" customWidth="1"/>
    <col min="11557" max="11557" width="6.42578125" style="1" customWidth="1"/>
    <col min="11558" max="11788" width="8.7109375" style="1"/>
    <col min="11789" max="11789" width="3.7109375" style="1" customWidth="1"/>
    <col min="11790" max="11790" width="4.28515625" style="1" customWidth="1"/>
    <col min="11791" max="11791" width="11.28515625" style="1" customWidth="1"/>
    <col min="11792" max="11792" width="13.42578125" style="1" customWidth="1"/>
    <col min="11793" max="11795" width="5.42578125" style="1" customWidth="1"/>
    <col min="11796" max="11796" width="8.28515625" style="1" customWidth="1"/>
    <col min="11797" max="11799" width="4.7109375" style="1" customWidth="1"/>
    <col min="11800" max="11800" width="11.7109375" style="1" customWidth="1"/>
    <col min="11801" max="11802" width="7" style="1" customWidth="1"/>
    <col min="11803" max="11803" width="6.42578125" style="1" customWidth="1"/>
    <col min="11804" max="11804" width="15" style="1" customWidth="1"/>
    <col min="11805" max="11805" width="5.28515625" style="1" customWidth="1"/>
    <col min="11806" max="11808" width="4.7109375" style="1" customWidth="1"/>
    <col min="11809" max="11809" width="11.7109375" style="1" customWidth="1"/>
    <col min="11810" max="11810" width="10" style="1" customWidth="1"/>
    <col min="11811" max="11811" width="7.42578125" style="1" customWidth="1"/>
    <col min="11812" max="11812" width="7.140625" style="1" customWidth="1"/>
    <col min="11813" max="11813" width="6.42578125" style="1" customWidth="1"/>
    <col min="11814" max="12044" width="8.7109375" style="1"/>
    <col min="12045" max="12045" width="3.7109375" style="1" customWidth="1"/>
    <col min="12046" max="12046" width="4.28515625" style="1" customWidth="1"/>
    <col min="12047" max="12047" width="11.28515625" style="1" customWidth="1"/>
    <col min="12048" max="12048" width="13.42578125" style="1" customWidth="1"/>
    <col min="12049" max="12051" width="5.42578125" style="1" customWidth="1"/>
    <col min="12052" max="12052" width="8.28515625" style="1" customWidth="1"/>
    <col min="12053" max="12055" width="4.7109375" style="1" customWidth="1"/>
    <col min="12056" max="12056" width="11.7109375" style="1" customWidth="1"/>
    <col min="12057" max="12058" width="7" style="1" customWidth="1"/>
    <col min="12059" max="12059" width="6.42578125" style="1" customWidth="1"/>
    <col min="12060" max="12060" width="15" style="1" customWidth="1"/>
    <col min="12061" max="12061" width="5.28515625" style="1" customWidth="1"/>
    <col min="12062" max="12064" width="4.7109375" style="1" customWidth="1"/>
    <col min="12065" max="12065" width="11.7109375" style="1" customWidth="1"/>
    <col min="12066" max="12066" width="10" style="1" customWidth="1"/>
    <col min="12067" max="12067" width="7.42578125" style="1" customWidth="1"/>
    <col min="12068" max="12068" width="7.140625" style="1" customWidth="1"/>
    <col min="12069" max="12069" width="6.42578125" style="1" customWidth="1"/>
    <col min="12070" max="12300" width="8.7109375" style="1"/>
    <col min="12301" max="12301" width="3.7109375" style="1" customWidth="1"/>
    <col min="12302" max="12302" width="4.28515625" style="1" customWidth="1"/>
    <col min="12303" max="12303" width="11.28515625" style="1" customWidth="1"/>
    <col min="12304" max="12304" width="13.42578125" style="1" customWidth="1"/>
    <col min="12305" max="12307" width="5.42578125" style="1" customWidth="1"/>
    <col min="12308" max="12308" width="8.28515625" style="1" customWidth="1"/>
    <col min="12309" max="12311" width="4.7109375" style="1" customWidth="1"/>
    <col min="12312" max="12312" width="11.7109375" style="1" customWidth="1"/>
    <col min="12313" max="12314" width="7" style="1" customWidth="1"/>
    <col min="12315" max="12315" width="6.42578125" style="1" customWidth="1"/>
    <col min="12316" max="12316" width="15" style="1" customWidth="1"/>
    <col min="12317" max="12317" width="5.28515625" style="1" customWidth="1"/>
    <col min="12318" max="12320" width="4.7109375" style="1" customWidth="1"/>
    <col min="12321" max="12321" width="11.7109375" style="1" customWidth="1"/>
    <col min="12322" max="12322" width="10" style="1" customWidth="1"/>
    <col min="12323" max="12323" width="7.42578125" style="1" customWidth="1"/>
    <col min="12324" max="12324" width="7.140625" style="1" customWidth="1"/>
    <col min="12325" max="12325" width="6.42578125" style="1" customWidth="1"/>
    <col min="12326" max="12556" width="8.7109375" style="1"/>
    <col min="12557" max="12557" width="3.7109375" style="1" customWidth="1"/>
    <col min="12558" max="12558" width="4.28515625" style="1" customWidth="1"/>
    <col min="12559" max="12559" width="11.28515625" style="1" customWidth="1"/>
    <col min="12560" max="12560" width="13.42578125" style="1" customWidth="1"/>
    <col min="12561" max="12563" width="5.42578125" style="1" customWidth="1"/>
    <col min="12564" max="12564" width="8.28515625" style="1" customWidth="1"/>
    <col min="12565" max="12567" width="4.7109375" style="1" customWidth="1"/>
    <col min="12568" max="12568" width="11.7109375" style="1" customWidth="1"/>
    <col min="12569" max="12570" width="7" style="1" customWidth="1"/>
    <col min="12571" max="12571" width="6.42578125" style="1" customWidth="1"/>
    <col min="12572" max="12572" width="15" style="1" customWidth="1"/>
    <col min="12573" max="12573" width="5.28515625" style="1" customWidth="1"/>
    <col min="12574" max="12576" width="4.7109375" style="1" customWidth="1"/>
    <col min="12577" max="12577" width="11.7109375" style="1" customWidth="1"/>
    <col min="12578" max="12578" width="10" style="1" customWidth="1"/>
    <col min="12579" max="12579" width="7.42578125" style="1" customWidth="1"/>
    <col min="12580" max="12580" width="7.140625" style="1" customWidth="1"/>
    <col min="12581" max="12581" width="6.42578125" style="1" customWidth="1"/>
    <col min="12582" max="12812" width="8.7109375" style="1"/>
    <col min="12813" max="12813" width="3.7109375" style="1" customWidth="1"/>
    <col min="12814" max="12814" width="4.28515625" style="1" customWidth="1"/>
    <col min="12815" max="12815" width="11.28515625" style="1" customWidth="1"/>
    <col min="12816" max="12816" width="13.42578125" style="1" customWidth="1"/>
    <col min="12817" max="12819" width="5.42578125" style="1" customWidth="1"/>
    <col min="12820" max="12820" width="8.28515625" style="1" customWidth="1"/>
    <col min="12821" max="12823" width="4.7109375" style="1" customWidth="1"/>
    <col min="12824" max="12824" width="11.7109375" style="1" customWidth="1"/>
    <col min="12825" max="12826" width="7" style="1" customWidth="1"/>
    <col min="12827" max="12827" width="6.42578125" style="1" customWidth="1"/>
    <col min="12828" max="12828" width="15" style="1" customWidth="1"/>
    <col min="12829" max="12829" width="5.28515625" style="1" customWidth="1"/>
    <col min="12830" max="12832" width="4.7109375" style="1" customWidth="1"/>
    <col min="12833" max="12833" width="11.7109375" style="1" customWidth="1"/>
    <col min="12834" max="12834" width="10" style="1" customWidth="1"/>
    <col min="12835" max="12835" width="7.42578125" style="1" customWidth="1"/>
    <col min="12836" max="12836" width="7.140625" style="1" customWidth="1"/>
    <col min="12837" max="12837" width="6.42578125" style="1" customWidth="1"/>
    <col min="12838" max="13068" width="8.7109375" style="1"/>
    <col min="13069" max="13069" width="3.7109375" style="1" customWidth="1"/>
    <col min="13070" max="13070" width="4.28515625" style="1" customWidth="1"/>
    <col min="13071" max="13071" width="11.28515625" style="1" customWidth="1"/>
    <col min="13072" max="13072" width="13.42578125" style="1" customWidth="1"/>
    <col min="13073" max="13075" width="5.42578125" style="1" customWidth="1"/>
    <col min="13076" max="13076" width="8.28515625" style="1" customWidth="1"/>
    <col min="13077" max="13079" width="4.7109375" style="1" customWidth="1"/>
    <col min="13080" max="13080" width="11.7109375" style="1" customWidth="1"/>
    <col min="13081" max="13082" width="7" style="1" customWidth="1"/>
    <col min="13083" max="13083" width="6.42578125" style="1" customWidth="1"/>
    <col min="13084" max="13084" width="15" style="1" customWidth="1"/>
    <col min="13085" max="13085" width="5.28515625" style="1" customWidth="1"/>
    <col min="13086" max="13088" width="4.7109375" style="1" customWidth="1"/>
    <col min="13089" max="13089" width="11.7109375" style="1" customWidth="1"/>
    <col min="13090" max="13090" width="10" style="1" customWidth="1"/>
    <col min="13091" max="13091" width="7.42578125" style="1" customWidth="1"/>
    <col min="13092" max="13092" width="7.140625" style="1" customWidth="1"/>
    <col min="13093" max="13093" width="6.42578125" style="1" customWidth="1"/>
    <col min="13094" max="13324" width="8.7109375" style="1"/>
    <col min="13325" max="13325" width="3.7109375" style="1" customWidth="1"/>
    <col min="13326" max="13326" width="4.28515625" style="1" customWidth="1"/>
    <col min="13327" max="13327" width="11.28515625" style="1" customWidth="1"/>
    <col min="13328" max="13328" width="13.42578125" style="1" customWidth="1"/>
    <col min="13329" max="13331" width="5.42578125" style="1" customWidth="1"/>
    <col min="13332" max="13332" width="8.28515625" style="1" customWidth="1"/>
    <col min="13333" max="13335" width="4.7109375" style="1" customWidth="1"/>
    <col min="13336" max="13336" width="11.7109375" style="1" customWidth="1"/>
    <col min="13337" max="13338" width="7" style="1" customWidth="1"/>
    <col min="13339" max="13339" width="6.42578125" style="1" customWidth="1"/>
    <col min="13340" max="13340" width="15" style="1" customWidth="1"/>
    <col min="13341" max="13341" width="5.28515625" style="1" customWidth="1"/>
    <col min="13342" max="13344" width="4.7109375" style="1" customWidth="1"/>
    <col min="13345" max="13345" width="11.7109375" style="1" customWidth="1"/>
    <col min="13346" max="13346" width="10" style="1" customWidth="1"/>
    <col min="13347" max="13347" width="7.42578125" style="1" customWidth="1"/>
    <col min="13348" max="13348" width="7.140625" style="1" customWidth="1"/>
    <col min="13349" max="13349" width="6.42578125" style="1" customWidth="1"/>
    <col min="13350" max="13580" width="8.7109375" style="1"/>
    <col min="13581" max="13581" width="3.7109375" style="1" customWidth="1"/>
    <col min="13582" max="13582" width="4.28515625" style="1" customWidth="1"/>
    <col min="13583" max="13583" width="11.28515625" style="1" customWidth="1"/>
    <col min="13584" max="13584" width="13.42578125" style="1" customWidth="1"/>
    <col min="13585" max="13587" width="5.42578125" style="1" customWidth="1"/>
    <col min="13588" max="13588" width="8.28515625" style="1" customWidth="1"/>
    <col min="13589" max="13591" width="4.7109375" style="1" customWidth="1"/>
    <col min="13592" max="13592" width="11.7109375" style="1" customWidth="1"/>
    <col min="13593" max="13594" width="7" style="1" customWidth="1"/>
    <col min="13595" max="13595" width="6.42578125" style="1" customWidth="1"/>
    <col min="13596" max="13596" width="15" style="1" customWidth="1"/>
    <col min="13597" max="13597" width="5.28515625" style="1" customWidth="1"/>
    <col min="13598" max="13600" width="4.7109375" style="1" customWidth="1"/>
    <col min="13601" max="13601" width="11.7109375" style="1" customWidth="1"/>
    <col min="13602" max="13602" width="10" style="1" customWidth="1"/>
    <col min="13603" max="13603" width="7.42578125" style="1" customWidth="1"/>
    <col min="13604" max="13604" width="7.140625" style="1" customWidth="1"/>
    <col min="13605" max="13605" width="6.42578125" style="1" customWidth="1"/>
    <col min="13606" max="13836" width="8.7109375" style="1"/>
    <col min="13837" max="13837" width="3.7109375" style="1" customWidth="1"/>
    <col min="13838" max="13838" width="4.28515625" style="1" customWidth="1"/>
    <col min="13839" max="13839" width="11.28515625" style="1" customWidth="1"/>
    <col min="13840" max="13840" width="13.42578125" style="1" customWidth="1"/>
    <col min="13841" max="13843" width="5.42578125" style="1" customWidth="1"/>
    <col min="13844" max="13844" width="8.28515625" style="1" customWidth="1"/>
    <col min="13845" max="13847" width="4.7109375" style="1" customWidth="1"/>
    <col min="13848" max="13848" width="11.7109375" style="1" customWidth="1"/>
    <col min="13849" max="13850" width="7" style="1" customWidth="1"/>
    <col min="13851" max="13851" width="6.42578125" style="1" customWidth="1"/>
    <col min="13852" max="13852" width="15" style="1" customWidth="1"/>
    <col min="13853" max="13853" width="5.28515625" style="1" customWidth="1"/>
    <col min="13854" max="13856" width="4.7109375" style="1" customWidth="1"/>
    <col min="13857" max="13857" width="11.7109375" style="1" customWidth="1"/>
    <col min="13858" max="13858" width="10" style="1" customWidth="1"/>
    <col min="13859" max="13859" width="7.42578125" style="1" customWidth="1"/>
    <col min="13860" max="13860" width="7.140625" style="1" customWidth="1"/>
    <col min="13861" max="13861" width="6.42578125" style="1" customWidth="1"/>
    <col min="13862" max="14092" width="8.7109375" style="1"/>
    <col min="14093" max="14093" width="3.7109375" style="1" customWidth="1"/>
    <col min="14094" max="14094" width="4.28515625" style="1" customWidth="1"/>
    <col min="14095" max="14095" width="11.28515625" style="1" customWidth="1"/>
    <col min="14096" max="14096" width="13.42578125" style="1" customWidth="1"/>
    <col min="14097" max="14099" width="5.42578125" style="1" customWidth="1"/>
    <col min="14100" max="14100" width="8.28515625" style="1" customWidth="1"/>
    <col min="14101" max="14103" width="4.7109375" style="1" customWidth="1"/>
    <col min="14104" max="14104" width="11.7109375" style="1" customWidth="1"/>
    <col min="14105" max="14106" width="7" style="1" customWidth="1"/>
    <col min="14107" max="14107" width="6.42578125" style="1" customWidth="1"/>
    <col min="14108" max="14108" width="15" style="1" customWidth="1"/>
    <col min="14109" max="14109" width="5.28515625" style="1" customWidth="1"/>
    <col min="14110" max="14112" width="4.7109375" style="1" customWidth="1"/>
    <col min="14113" max="14113" width="11.7109375" style="1" customWidth="1"/>
    <col min="14114" max="14114" width="10" style="1" customWidth="1"/>
    <col min="14115" max="14115" width="7.42578125" style="1" customWidth="1"/>
    <col min="14116" max="14116" width="7.140625" style="1" customWidth="1"/>
    <col min="14117" max="14117" width="6.42578125" style="1" customWidth="1"/>
    <col min="14118" max="14348" width="8.7109375" style="1"/>
    <col min="14349" max="14349" width="3.7109375" style="1" customWidth="1"/>
    <col min="14350" max="14350" width="4.28515625" style="1" customWidth="1"/>
    <col min="14351" max="14351" width="11.28515625" style="1" customWidth="1"/>
    <col min="14352" max="14352" width="13.42578125" style="1" customWidth="1"/>
    <col min="14353" max="14355" width="5.42578125" style="1" customWidth="1"/>
    <col min="14356" max="14356" width="8.28515625" style="1" customWidth="1"/>
    <col min="14357" max="14359" width="4.7109375" style="1" customWidth="1"/>
    <col min="14360" max="14360" width="11.7109375" style="1" customWidth="1"/>
    <col min="14361" max="14362" width="7" style="1" customWidth="1"/>
    <col min="14363" max="14363" width="6.42578125" style="1" customWidth="1"/>
    <col min="14364" max="14364" width="15" style="1" customWidth="1"/>
    <col min="14365" max="14365" width="5.28515625" style="1" customWidth="1"/>
    <col min="14366" max="14368" width="4.7109375" style="1" customWidth="1"/>
    <col min="14369" max="14369" width="11.7109375" style="1" customWidth="1"/>
    <col min="14370" max="14370" width="10" style="1" customWidth="1"/>
    <col min="14371" max="14371" width="7.42578125" style="1" customWidth="1"/>
    <col min="14372" max="14372" width="7.140625" style="1" customWidth="1"/>
    <col min="14373" max="14373" width="6.42578125" style="1" customWidth="1"/>
    <col min="14374" max="14604" width="8.7109375" style="1"/>
    <col min="14605" max="14605" width="3.7109375" style="1" customWidth="1"/>
    <col min="14606" max="14606" width="4.28515625" style="1" customWidth="1"/>
    <col min="14607" max="14607" width="11.28515625" style="1" customWidth="1"/>
    <col min="14608" max="14608" width="13.42578125" style="1" customWidth="1"/>
    <col min="14609" max="14611" width="5.42578125" style="1" customWidth="1"/>
    <col min="14612" max="14612" width="8.28515625" style="1" customWidth="1"/>
    <col min="14613" max="14615" width="4.7109375" style="1" customWidth="1"/>
    <col min="14616" max="14616" width="11.7109375" style="1" customWidth="1"/>
    <col min="14617" max="14618" width="7" style="1" customWidth="1"/>
    <col min="14619" max="14619" width="6.42578125" style="1" customWidth="1"/>
    <col min="14620" max="14620" width="15" style="1" customWidth="1"/>
    <col min="14621" max="14621" width="5.28515625" style="1" customWidth="1"/>
    <col min="14622" max="14624" width="4.7109375" style="1" customWidth="1"/>
    <col min="14625" max="14625" width="11.7109375" style="1" customWidth="1"/>
    <col min="14626" max="14626" width="10" style="1" customWidth="1"/>
    <col min="14627" max="14627" width="7.42578125" style="1" customWidth="1"/>
    <col min="14628" max="14628" width="7.140625" style="1" customWidth="1"/>
    <col min="14629" max="14629" width="6.42578125" style="1" customWidth="1"/>
    <col min="14630" max="14860" width="8.7109375" style="1"/>
    <col min="14861" max="14861" width="3.7109375" style="1" customWidth="1"/>
    <col min="14862" max="14862" width="4.28515625" style="1" customWidth="1"/>
    <col min="14863" max="14863" width="11.28515625" style="1" customWidth="1"/>
    <col min="14864" max="14864" width="13.42578125" style="1" customWidth="1"/>
    <col min="14865" max="14867" width="5.42578125" style="1" customWidth="1"/>
    <col min="14868" max="14868" width="8.28515625" style="1" customWidth="1"/>
    <col min="14869" max="14871" width="4.7109375" style="1" customWidth="1"/>
    <col min="14872" max="14872" width="11.7109375" style="1" customWidth="1"/>
    <col min="14873" max="14874" width="7" style="1" customWidth="1"/>
    <col min="14875" max="14875" width="6.42578125" style="1" customWidth="1"/>
    <col min="14876" max="14876" width="15" style="1" customWidth="1"/>
    <col min="14877" max="14877" width="5.28515625" style="1" customWidth="1"/>
    <col min="14878" max="14880" width="4.7109375" style="1" customWidth="1"/>
    <col min="14881" max="14881" width="11.7109375" style="1" customWidth="1"/>
    <col min="14882" max="14882" width="10" style="1" customWidth="1"/>
    <col min="14883" max="14883" width="7.42578125" style="1" customWidth="1"/>
    <col min="14884" max="14884" width="7.140625" style="1" customWidth="1"/>
    <col min="14885" max="14885" width="6.42578125" style="1" customWidth="1"/>
    <col min="14886" max="15116" width="8.7109375" style="1"/>
    <col min="15117" max="15117" width="3.7109375" style="1" customWidth="1"/>
    <col min="15118" max="15118" width="4.28515625" style="1" customWidth="1"/>
    <col min="15119" max="15119" width="11.28515625" style="1" customWidth="1"/>
    <col min="15120" max="15120" width="13.42578125" style="1" customWidth="1"/>
    <col min="15121" max="15123" width="5.42578125" style="1" customWidth="1"/>
    <col min="15124" max="15124" width="8.28515625" style="1" customWidth="1"/>
    <col min="15125" max="15127" width="4.7109375" style="1" customWidth="1"/>
    <col min="15128" max="15128" width="11.7109375" style="1" customWidth="1"/>
    <col min="15129" max="15130" width="7" style="1" customWidth="1"/>
    <col min="15131" max="15131" width="6.42578125" style="1" customWidth="1"/>
    <col min="15132" max="15132" width="15" style="1" customWidth="1"/>
    <col min="15133" max="15133" width="5.28515625" style="1" customWidth="1"/>
    <col min="15134" max="15136" width="4.7109375" style="1" customWidth="1"/>
    <col min="15137" max="15137" width="11.7109375" style="1" customWidth="1"/>
    <col min="15138" max="15138" width="10" style="1" customWidth="1"/>
    <col min="15139" max="15139" width="7.42578125" style="1" customWidth="1"/>
    <col min="15140" max="15140" width="7.140625" style="1" customWidth="1"/>
    <col min="15141" max="15141" width="6.42578125" style="1" customWidth="1"/>
    <col min="15142" max="15372" width="8.7109375" style="1"/>
    <col min="15373" max="15373" width="3.7109375" style="1" customWidth="1"/>
    <col min="15374" max="15374" width="4.28515625" style="1" customWidth="1"/>
    <col min="15375" max="15375" width="11.28515625" style="1" customWidth="1"/>
    <col min="15376" max="15376" width="13.42578125" style="1" customWidth="1"/>
    <col min="15377" max="15379" width="5.42578125" style="1" customWidth="1"/>
    <col min="15380" max="15380" width="8.28515625" style="1" customWidth="1"/>
    <col min="15381" max="15383" width="4.7109375" style="1" customWidth="1"/>
    <col min="15384" max="15384" width="11.7109375" style="1" customWidth="1"/>
    <col min="15385" max="15386" width="7" style="1" customWidth="1"/>
    <col min="15387" max="15387" width="6.42578125" style="1" customWidth="1"/>
    <col min="15388" max="15388" width="15" style="1" customWidth="1"/>
    <col min="15389" max="15389" width="5.28515625" style="1" customWidth="1"/>
    <col min="15390" max="15392" width="4.7109375" style="1" customWidth="1"/>
    <col min="15393" max="15393" width="11.7109375" style="1" customWidth="1"/>
    <col min="15394" max="15394" width="10" style="1" customWidth="1"/>
    <col min="15395" max="15395" width="7.42578125" style="1" customWidth="1"/>
    <col min="15396" max="15396" width="7.140625" style="1" customWidth="1"/>
    <col min="15397" max="15397" width="6.42578125" style="1" customWidth="1"/>
    <col min="15398" max="15628" width="8.7109375" style="1"/>
    <col min="15629" max="15629" width="3.7109375" style="1" customWidth="1"/>
    <col min="15630" max="15630" width="4.28515625" style="1" customWidth="1"/>
    <col min="15631" max="15631" width="11.28515625" style="1" customWidth="1"/>
    <col min="15632" max="15632" width="13.42578125" style="1" customWidth="1"/>
    <col min="15633" max="15635" width="5.42578125" style="1" customWidth="1"/>
    <col min="15636" max="15636" width="8.28515625" style="1" customWidth="1"/>
    <col min="15637" max="15639" width="4.7109375" style="1" customWidth="1"/>
    <col min="15640" max="15640" width="11.7109375" style="1" customWidth="1"/>
    <col min="15641" max="15642" width="7" style="1" customWidth="1"/>
    <col min="15643" max="15643" width="6.42578125" style="1" customWidth="1"/>
    <col min="15644" max="15644" width="15" style="1" customWidth="1"/>
    <col min="15645" max="15645" width="5.28515625" style="1" customWidth="1"/>
    <col min="15646" max="15648" width="4.7109375" style="1" customWidth="1"/>
    <col min="15649" max="15649" width="11.7109375" style="1" customWidth="1"/>
    <col min="15650" max="15650" width="10" style="1" customWidth="1"/>
    <col min="15651" max="15651" width="7.42578125" style="1" customWidth="1"/>
    <col min="15652" max="15652" width="7.140625" style="1" customWidth="1"/>
    <col min="15653" max="15653" width="6.42578125" style="1" customWidth="1"/>
    <col min="15654" max="15884" width="8.7109375" style="1"/>
    <col min="15885" max="15885" width="3.7109375" style="1" customWidth="1"/>
    <col min="15886" max="15886" width="4.28515625" style="1" customWidth="1"/>
    <col min="15887" max="15887" width="11.28515625" style="1" customWidth="1"/>
    <col min="15888" max="15888" width="13.42578125" style="1" customWidth="1"/>
    <col min="15889" max="15891" width="5.42578125" style="1" customWidth="1"/>
    <col min="15892" max="15892" width="8.28515625" style="1" customWidth="1"/>
    <col min="15893" max="15895" width="4.7109375" style="1" customWidth="1"/>
    <col min="15896" max="15896" width="11.7109375" style="1" customWidth="1"/>
    <col min="15897" max="15898" width="7" style="1" customWidth="1"/>
    <col min="15899" max="15899" width="6.42578125" style="1" customWidth="1"/>
    <col min="15900" max="15900" width="15" style="1" customWidth="1"/>
    <col min="15901" max="15901" width="5.28515625" style="1" customWidth="1"/>
    <col min="15902" max="15904" width="4.7109375" style="1" customWidth="1"/>
    <col min="15905" max="15905" width="11.7109375" style="1" customWidth="1"/>
    <col min="15906" max="15906" width="10" style="1" customWidth="1"/>
    <col min="15907" max="15907" width="7.42578125" style="1" customWidth="1"/>
    <col min="15908" max="15908" width="7.140625" style="1" customWidth="1"/>
    <col min="15909" max="15909" width="6.42578125" style="1" customWidth="1"/>
    <col min="15910" max="16140" width="8.7109375" style="1"/>
    <col min="16141" max="16141" width="3.7109375" style="1" customWidth="1"/>
    <col min="16142" max="16142" width="4.28515625" style="1" customWidth="1"/>
    <col min="16143" max="16143" width="11.28515625" style="1" customWidth="1"/>
    <col min="16144" max="16144" width="13.42578125" style="1" customWidth="1"/>
    <col min="16145" max="16147" width="5.42578125" style="1" customWidth="1"/>
    <col min="16148" max="16148" width="8.28515625" style="1" customWidth="1"/>
    <col min="16149" max="16151" width="4.7109375" style="1" customWidth="1"/>
    <col min="16152" max="16152" width="11.7109375" style="1" customWidth="1"/>
    <col min="16153" max="16154" width="7" style="1" customWidth="1"/>
    <col min="16155" max="16155" width="6.42578125" style="1" customWidth="1"/>
    <col min="16156" max="16156" width="15" style="1" customWidth="1"/>
    <col min="16157" max="16157" width="5.28515625" style="1" customWidth="1"/>
    <col min="16158" max="16160" width="4.7109375" style="1" customWidth="1"/>
    <col min="16161" max="16161" width="11.7109375" style="1" customWidth="1"/>
    <col min="16162" max="16162" width="10" style="1" customWidth="1"/>
    <col min="16163" max="16163" width="7.42578125" style="1" customWidth="1"/>
    <col min="16164" max="16164" width="7.140625" style="1" customWidth="1"/>
    <col min="16165" max="16165" width="6.42578125" style="1" customWidth="1"/>
    <col min="16166" max="16384" width="8.7109375" style="1"/>
  </cols>
  <sheetData>
    <row r="1" spans="2:39" x14ac:dyDescent="0.25">
      <c r="B1" s="1" t="s">
        <v>0</v>
      </c>
      <c r="F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K1" s="2" t="s">
        <v>1</v>
      </c>
    </row>
    <row r="2" spans="2:39" ht="15" customHeight="1" x14ac:dyDescent="0.25">
      <c r="B2" s="1" t="s">
        <v>42</v>
      </c>
      <c r="F2" s="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K2" s="1" t="s">
        <v>2</v>
      </c>
    </row>
    <row r="3" spans="2:39" ht="15" customHeight="1" x14ac:dyDescent="0.25">
      <c r="B3" s="1" t="s">
        <v>95</v>
      </c>
      <c r="F3" s="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K3" s="4" t="s">
        <v>3</v>
      </c>
    </row>
    <row r="4" spans="2:39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spans="2:39" ht="17.25" customHeight="1" x14ac:dyDescent="0.25">
      <c r="B5" s="44" t="s">
        <v>103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2:39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2:39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2:39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2:39" ht="39.7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  <c r="V9" s="64" t="s">
        <v>12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  <c r="AL9" s="9" t="s">
        <v>13</v>
      </c>
      <c r="AM9" s="46" t="s">
        <v>14</v>
      </c>
    </row>
    <row r="10" spans="2:39" s="11" customFormat="1" ht="23.25" customHeight="1" x14ac:dyDescent="0.25">
      <c r="B10" s="60"/>
      <c r="C10" s="60"/>
      <c r="D10" s="60"/>
      <c r="E10" s="60"/>
      <c r="F10" s="49" t="s">
        <v>15</v>
      </c>
      <c r="G10" s="67" t="s">
        <v>15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 t="s">
        <v>15</v>
      </c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49" t="s">
        <v>16</v>
      </c>
      <c r="AM10" s="47"/>
    </row>
    <row r="11" spans="2:39" s="12" customFormat="1" ht="73.150000000000006" customHeight="1" x14ac:dyDescent="0.25">
      <c r="B11" s="60"/>
      <c r="C11" s="60"/>
      <c r="D11" s="60"/>
      <c r="E11" s="60"/>
      <c r="F11" s="50"/>
      <c r="G11" s="10" t="s">
        <v>69</v>
      </c>
      <c r="H11" s="10" t="s">
        <v>70</v>
      </c>
      <c r="I11" s="10" t="s">
        <v>71</v>
      </c>
      <c r="J11" s="10" t="s">
        <v>73</v>
      </c>
      <c r="K11" s="10" t="s">
        <v>75</v>
      </c>
      <c r="L11" s="10" t="s">
        <v>77</v>
      </c>
      <c r="M11" s="10" t="s">
        <v>78</v>
      </c>
      <c r="N11" s="10" t="s">
        <v>79</v>
      </c>
      <c r="O11" s="10" t="s">
        <v>81</v>
      </c>
      <c r="P11" s="10" t="s">
        <v>82</v>
      </c>
      <c r="Q11" s="10" t="s">
        <v>84</v>
      </c>
      <c r="R11" s="10" t="s">
        <v>85</v>
      </c>
      <c r="S11" s="10" t="s">
        <v>86</v>
      </c>
      <c r="T11" s="10" t="s">
        <v>88</v>
      </c>
      <c r="U11" s="10" t="s">
        <v>17</v>
      </c>
      <c r="V11" s="10" t="s">
        <v>69</v>
      </c>
      <c r="W11" s="10" t="s">
        <v>72</v>
      </c>
      <c r="X11" s="10" t="s">
        <v>73</v>
      </c>
      <c r="Y11" s="10" t="s">
        <v>74</v>
      </c>
      <c r="Z11" s="10" t="s">
        <v>76</v>
      </c>
      <c r="AA11" s="10" t="s">
        <v>77</v>
      </c>
      <c r="AB11" s="10" t="s">
        <v>79</v>
      </c>
      <c r="AC11" s="10" t="s">
        <v>80</v>
      </c>
      <c r="AD11" s="10" t="s">
        <v>81</v>
      </c>
      <c r="AE11" s="10" t="s">
        <v>83</v>
      </c>
      <c r="AF11" s="10" t="s">
        <v>85</v>
      </c>
      <c r="AG11" s="10" t="s">
        <v>86</v>
      </c>
      <c r="AH11" s="10" t="s">
        <v>87</v>
      </c>
      <c r="AI11" s="10" t="s">
        <v>88</v>
      </c>
      <c r="AJ11" s="10" t="s">
        <v>91</v>
      </c>
      <c r="AK11" s="8" t="s">
        <v>18</v>
      </c>
      <c r="AL11" s="50"/>
      <c r="AM11" s="48"/>
    </row>
    <row r="12" spans="2:39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52</v>
      </c>
      <c r="P12" s="14" t="s">
        <v>53</v>
      </c>
      <c r="Q12" s="14" t="s">
        <v>54</v>
      </c>
      <c r="R12" s="14" t="s">
        <v>55</v>
      </c>
      <c r="S12" s="14" t="s">
        <v>89</v>
      </c>
      <c r="T12" s="14" t="s">
        <v>90</v>
      </c>
      <c r="U12" s="14" t="s">
        <v>26</v>
      </c>
      <c r="V12" s="14" t="s">
        <v>27</v>
      </c>
      <c r="W12" s="14" t="s">
        <v>28</v>
      </c>
      <c r="X12" s="14" t="s">
        <v>56</v>
      </c>
      <c r="Y12" s="14" t="s">
        <v>57</v>
      </c>
      <c r="Z12" s="14" t="s">
        <v>58</v>
      </c>
      <c r="AA12" s="14" t="s">
        <v>59</v>
      </c>
      <c r="AB12" s="14" t="s">
        <v>60</v>
      </c>
      <c r="AC12" s="14" t="s">
        <v>61</v>
      </c>
      <c r="AD12" s="14" t="s">
        <v>62</v>
      </c>
      <c r="AE12" s="14" t="s">
        <v>63</v>
      </c>
      <c r="AF12" s="14" t="s">
        <v>64</v>
      </c>
      <c r="AG12" s="14" t="s">
        <v>65</v>
      </c>
      <c r="AH12" s="14" t="s">
        <v>66</v>
      </c>
      <c r="AI12" s="14" t="s">
        <v>67</v>
      </c>
      <c r="AJ12" s="26" t="s">
        <v>68</v>
      </c>
      <c r="AK12" s="14" t="s">
        <v>29</v>
      </c>
      <c r="AL12" s="13" t="s">
        <v>30</v>
      </c>
      <c r="AM12" s="13" t="s">
        <v>31</v>
      </c>
    </row>
    <row r="13" spans="2:39" s="22" customFormat="1" ht="74.25" customHeight="1" x14ac:dyDescent="0.25">
      <c r="B13" s="15">
        <v>1</v>
      </c>
      <c r="C13" s="24" t="s">
        <v>44</v>
      </c>
      <c r="D13" s="16"/>
      <c r="E13" s="16" t="s">
        <v>45</v>
      </c>
      <c r="F13" s="16" t="e">
        <f>'T07'!AL13</f>
        <v>#VALUE!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5">
        <f>SUM(G13:T13)</f>
        <v>0</v>
      </c>
      <c r="V13" s="16"/>
      <c r="W13" s="16"/>
      <c r="X13" s="16"/>
      <c r="Y13" s="23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3"/>
      <c r="AK13" s="25">
        <f>SUM(V13:AJ13)</f>
        <v>0</v>
      </c>
      <c r="AL13" s="25" t="e">
        <f>F13+U13-AK13</f>
        <v>#VALUE!</v>
      </c>
      <c r="AM13" s="23" t="s">
        <v>93</v>
      </c>
    </row>
    <row r="14" spans="2:39" ht="24" customHeight="1" x14ac:dyDescent="0.25">
      <c r="B14" s="15" t="s">
        <v>32</v>
      </c>
      <c r="C14" s="15"/>
      <c r="D14" s="15"/>
      <c r="E14" s="15"/>
      <c r="F14" s="8" t="e">
        <f>F13</f>
        <v>#VALUE!</v>
      </c>
      <c r="G14" s="8">
        <f t="shared" ref="G14:AL14" si="0">G13</f>
        <v>0</v>
      </c>
      <c r="H14" s="8">
        <f t="shared" si="0"/>
        <v>0</v>
      </c>
      <c r="I14" s="8">
        <f t="shared" si="0"/>
        <v>0</v>
      </c>
      <c r="J14" s="8">
        <f t="shared" si="0"/>
        <v>0</v>
      </c>
      <c r="K14" s="8">
        <f t="shared" si="0"/>
        <v>0</v>
      </c>
      <c r="L14" s="8">
        <f t="shared" si="0"/>
        <v>0</v>
      </c>
      <c r="M14" s="8">
        <f t="shared" si="0"/>
        <v>0</v>
      </c>
      <c r="N14" s="8">
        <f t="shared" si="0"/>
        <v>0</v>
      </c>
      <c r="O14" s="8">
        <f t="shared" si="0"/>
        <v>0</v>
      </c>
      <c r="P14" s="8">
        <f t="shared" si="0"/>
        <v>0</v>
      </c>
      <c r="Q14" s="8">
        <f t="shared" si="0"/>
        <v>0</v>
      </c>
      <c r="R14" s="8">
        <f t="shared" si="0"/>
        <v>0</v>
      </c>
      <c r="S14" s="8">
        <f t="shared" si="0"/>
        <v>0</v>
      </c>
      <c r="T14" s="8">
        <f t="shared" si="0"/>
        <v>0</v>
      </c>
      <c r="U14" s="8">
        <f t="shared" si="0"/>
        <v>0</v>
      </c>
      <c r="V14" s="8">
        <f t="shared" si="0"/>
        <v>0</v>
      </c>
      <c r="W14" s="8">
        <f t="shared" si="0"/>
        <v>0</v>
      </c>
      <c r="X14" s="8">
        <f t="shared" si="0"/>
        <v>0</v>
      </c>
      <c r="Y14" s="8">
        <f t="shared" si="0"/>
        <v>0</v>
      </c>
      <c r="Z14" s="8">
        <f t="shared" si="0"/>
        <v>0</v>
      </c>
      <c r="AA14" s="8">
        <f t="shared" si="0"/>
        <v>0</v>
      </c>
      <c r="AB14" s="8">
        <f t="shared" si="0"/>
        <v>0</v>
      </c>
      <c r="AC14" s="8">
        <f t="shared" si="0"/>
        <v>0</v>
      </c>
      <c r="AD14" s="8">
        <f t="shared" si="0"/>
        <v>0</v>
      </c>
      <c r="AE14" s="8">
        <f t="shared" si="0"/>
        <v>0</v>
      </c>
      <c r="AF14" s="8">
        <f t="shared" si="0"/>
        <v>0</v>
      </c>
      <c r="AG14" s="8">
        <f t="shared" si="0"/>
        <v>0</v>
      </c>
      <c r="AH14" s="8">
        <f t="shared" si="0"/>
        <v>0</v>
      </c>
      <c r="AI14" s="8">
        <f t="shared" si="0"/>
        <v>0</v>
      </c>
      <c r="AJ14" s="8">
        <f t="shared" si="0"/>
        <v>0</v>
      </c>
      <c r="AK14" s="8">
        <f t="shared" si="0"/>
        <v>0</v>
      </c>
      <c r="AL14" s="8" t="e">
        <f t="shared" si="0"/>
        <v>#VALUE!</v>
      </c>
      <c r="AM14" s="27"/>
    </row>
    <row r="15" spans="2:39" ht="24" customHeight="1" x14ac:dyDescent="0.25">
      <c r="B15" s="17"/>
      <c r="C15" s="17"/>
      <c r="D15" s="17"/>
      <c r="E15" s="17"/>
      <c r="F15" s="18" t="s">
        <v>96</v>
      </c>
      <c r="U15" s="57" t="s">
        <v>33</v>
      </c>
      <c r="V15" s="57"/>
      <c r="W15" s="57"/>
      <c r="X15" s="57"/>
      <c r="Y15" s="57"/>
      <c r="Z15" s="57"/>
      <c r="AA15" s="57"/>
      <c r="AB15" s="57"/>
      <c r="AC15" s="57"/>
      <c r="AD15" s="5"/>
      <c r="AE15" s="5"/>
      <c r="AF15" s="5"/>
      <c r="AG15" s="5"/>
      <c r="AH15" s="5"/>
      <c r="AI15" s="5"/>
      <c r="AJ15" s="19"/>
      <c r="AK15" s="19"/>
    </row>
    <row r="16" spans="2:39" ht="24" customHeight="1" x14ac:dyDescent="0.25">
      <c r="B16" s="17"/>
      <c r="C16" s="17"/>
      <c r="D16" s="17"/>
      <c r="E16" s="17"/>
      <c r="F16" s="18"/>
      <c r="U16" s="44"/>
      <c r="V16" s="44"/>
      <c r="W16" s="44"/>
      <c r="X16" s="44"/>
      <c r="Y16" s="44"/>
      <c r="Z16" s="44"/>
      <c r="AA16" s="44"/>
      <c r="AB16" s="44"/>
      <c r="AC16" s="44"/>
      <c r="AD16" s="5"/>
      <c r="AE16" s="5"/>
      <c r="AF16" s="5"/>
      <c r="AG16" s="5"/>
      <c r="AH16" s="5"/>
      <c r="AI16" s="5"/>
      <c r="AJ16" s="19"/>
      <c r="AK16" s="19"/>
    </row>
    <row r="17" spans="2:38" ht="24" customHeight="1" x14ac:dyDescent="0.25">
      <c r="B17" s="17"/>
      <c r="C17" s="17"/>
      <c r="D17" s="17"/>
      <c r="E17" s="17"/>
    </row>
    <row r="18" spans="2:38" ht="24" customHeight="1" x14ac:dyDescent="0.25">
      <c r="B18" s="17"/>
      <c r="C18" s="17"/>
      <c r="D18" s="17"/>
      <c r="E18" s="17"/>
    </row>
    <row r="19" spans="2:38" ht="24" customHeight="1" x14ac:dyDescent="0.25">
      <c r="B19" s="17"/>
      <c r="C19" s="17"/>
      <c r="D19" s="17"/>
      <c r="E19" s="17"/>
      <c r="F19" s="19" t="s">
        <v>94</v>
      </c>
    </row>
    <row r="20" spans="2:38" ht="24" customHeight="1" x14ac:dyDescent="0.3">
      <c r="B20" s="17"/>
      <c r="C20" s="17"/>
      <c r="D20" s="17"/>
      <c r="E20" s="17"/>
      <c r="F20" s="21"/>
      <c r="U20" s="45" t="s">
        <v>92</v>
      </c>
      <c r="V20" s="45"/>
      <c r="W20" s="45"/>
      <c r="X20" s="45"/>
      <c r="Y20" s="45"/>
      <c r="Z20" s="45"/>
      <c r="AA20" s="45"/>
      <c r="AB20" s="45"/>
      <c r="AC20" s="45"/>
    </row>
    <row r="21" spans="2:38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2:38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spans="2:38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spans="2:38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spans="2:38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 spans="2:38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spans="2:38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spans="2:38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</row>
  </sheetData>
  <mergeCells count="23">
    <mergeCell ref="U15:AC15"/>
    <mergeCell ref="B4:AL4"/>
    <mergeCell ref="B5:AL5"/>
    <mergeCell ref="B9:B11"/>
    <mergeCell ref="C9:C11"/>
    <mergeCell ref="D9:D11"/>
    <mergeCell ref="E9:E11"/>
    <mergeCell ref="G9:U9"/>
    <mergeCell ref="V9:AK9"/>
    <mergeCell ref="AM9:AM11"/>
    <mergeCell ref="F10:F11"/>
    <mergeCell ref="G10:T10"/>
    <mergeCell ref="U10:AK10"/>
    <mergeCell ref="AL10:AL11"/>
    <mergeCell ref="B26:AJ26"/>
    <mergeCell ref="B27:AJ27"/>
    <mergeCell ref="B28:AK28"/>
    <mergeCell ref="U16:AC16"/>
    <mergeCell ref="U20:AC20"/>
    <mergeCell ref="B22:AL22"/>
    <mergeCell ref="B23:AL23"/>
    <mergeCell ref="B24:AL24"/>
    <mergeCell ref="B25:AL25"/>
  </mergeCells>
  <pageMargins left="0.7" right="0.7" top="0.75" bottom="0.75" header="0.3" footer="0.3"/>
  <pageSetup paperSize="9" scale="31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E244-8C45-42C0-86F4-2FECD3B9B4A6}">
  <sheetPr codeName="Sheet9">
    <pageSetUpPr fitToPage="1"/>
  </sheetPr>
  <dimension ref="B1:AM28"/>
  <sheetViews>
    <sheetView topLeftCell="P4" zoomScale="66" zoomScaleNormal="66" workbookViewId="0">
      <selection activeCell="F14" sqref="F14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7.7109375" style="1" customWidth="1"/>
    <col min="4" max="4" width="16.28515625" style="1" customWidth="1"/>
    <col min="5" max="5" width="13.42578125" style="1" customWidth="1"/>
    <col min="6" max="6" width="16.7109375" style="1" customWidth="1"/>
    <col min="7" max="20" width="8.7109375" style="3" customWidth="1"/>
    <col min="21" max="21" width="10.7109375" style="3" customWidth="1"/>
    <col min="22" max="35" width="8.42578125" style="3" customWidth="1"/>
    <col min="36" max="36" width="8.42578125" style="1" customWidth="1"/>
    <col min="37" max="37" width="17.140625" style="1" customWidth="1"/>
    <col min="38" max="38" width="21" style="1" customWidth="1"/>
    <col min="39" max="39" width="20.7109375" style="1" customWidth="1"/>
    <col min="40" max="268" width="8.7109375" style="1"/>
    <col min="269" max="269" width="3.7109375" style="1" customWidth="1"/>
    <col min="270" max="270" width="4.28515625" style="1" customWidth="1"/>
    <col min="271" max="271" width="11.28515625" style="1" customWidth="1"/>
    <col min="272" max="272" width="13.42578125" style="1" customWidth="1"/>
    <col min="273" max="275" width="5.42578125" style="1" customWidth="1"/>
    <col min="276" max="276" width="8.28515625" style="1" customWidth="1"/>
    <col min="277" max="279" width="4.7109375" style="1" customWidth="1"/>
    <col min="280" max="280" width="11.7109375" style="1" customWidth="1"/>
    <col min="281" max="282" width="7" style="1" customWidth="1"/>
    <col min="283" max="283" width="6.42578125" style="1" customWidth="1"/>
    <col min="284" max="284" width="15" style="1" customWidth="1"/>
    <col min="285" max="285" width="5.28515625" style="1" customWidth="1"/>
    <col min="286" max="288" width="4.7109375" style="1" customWidth="1"/>
    <col min="289" max="289" width="11.7109375" style="1" customWidth="1"/>
    <col min="290" max="290" width="10" style="1" customWidth="1"/>
    <col min="291" max="291" width="7.42578125" style="1" customWidth="1"/>
    <col min="292" max="292" width="7.140625" style="1" customWidth="1"/>
    <col min="293" max="293" width="6.42578125" style="1" customWidth="1"/>
    <col min="294" max="524" width="8.7109375" style="1"/>
    <col min="525" max="525" width="3.7109375" style="1" customWidth="1"/>
    <col min="526" max="526" width="4.28515625" style="1" customWidth="1"/>
    <col min="527" max="527" width="11.28515625" style="1" customWidth="1"/>
    <col min="528" max="528" width="13.42578125" style="1" customWidth="1"/>
    <col min="529" max="531" width="5.42578125" style="1" customWidth="1"/>
    <col min="532" max="532" width="8.28515625" style="1" customWidth="1"/>
    <col min="533" max="535" width="4.7109375" style="1" customWidth="1"/>
    <col min="536" max="536" width="11.7109375" style="1" customWidth="1"/>
    <col min="537" max="538" width="7" style="1" customWidth="1"/>
    <col min="539" max="539" width="6.42578125" style="1" customWidth="1"/>
    <col min="540" max="540" width="15" style="1" customWidth="1"/>
    <col min="541" max="541" width="5.28515625" style="1" customWidth="1"/>
    <col min="542" max="544" width="4.7109375" style="1" customWidth="1"/>
    <col min="545" max="545" width="11.7109375" style="1" customWidth="1"/>
    <col min="546" max="546" width="10" style="1" customWidth="1"/>
    <col min="547" max="547" width="7.42578125" style="1" customWidth="1"/>
    <col min="548" max="548" width="7.140625" style="1" customWidth="1"/>
    <col min="549" max="549" width="6.42578125" style="1" customWidth="1"/>
    <col min="550" max="780" width="8.7109375" style="1"/>
    <col min="781" max="781" width="3.7109375" style="1" customWidth="1"/>
    <col min="782" max="782" width="4.28515625" style="1" customWidth="1"/>
    <col min="783" max="783" width="11.28515625" style="1" customWidth="1"/>
    <col min="784" max="784" width="13.42578125" style="1" customWidth="1"/>
    <col min="785" max="787" width="5.42578125" style="1" customWidth="1"/>
    <col min="788" max="788" width="8.28515625" style="1" customWidth="1"/>
    <col min="789" max="791" width="4.7109375" style="1" customWidth="1"/>
    <col min="792" max="792" width="11.7109375" style="1" customWidth="1"/>
    <col min="793" max="794" width="7" style="1" customWidth="1"/>
    <col min="795" max="795" width="6.42578125" style="1" customWidth="1"/>
    <col min="796" max="796" width="15" style="1" customWidth="1"/>
    <col min="797" max="797" width="5.28515625" style="1" customWidth="1"/>
    <col min="798" max="800" width="4.7109375" style="1" customWidth="1"/>
    <col min="801" max="801" width="11.7109375" style="1" customWidth="1"/>
    <col min="802" max="802" width="10" style="1" customWidth="1"/>
    <col min="803" max="803" width="7.42578125" style="1" customWidth="1"/>
    <col min="804" max="804" width="7.140625" style="1" customWidth="1"/>
    <col min="805" max="805" width="6.42578125" style="1" customWidth="1"/>
    <col min="806" max="1036" width="8.7109375" style="1"/>
    <col min="1037" max="1037" width="3.7109375" style="1" customWidth="1"/>
    <col min="1038" max="1038" width="4.28515625" style="1" customWidth="1"/>
    <col min="1039" max="1039" width="11.28515625" style="1" customWidth="1"/>
    <col min="1040" max="1040" width="13.42578125" style="1" customWidth="1"/>
    <col min="1041" max="1043" width="5.42578125" style="1" customWidth="1"/>
    <col min="1044" max="1044" width="8.28515625" style="1" customWidth="1"/>
    <col min="1045" max="1047" width="4.7109375" style="1" customWidth="1"/>
    <col min="1048" max="1048" width="11.7109375" style="1" customWidth="1"/>
    <col min="1049" max="1050" width="7" style="1" customWidth="1"/>
    <col min="1051" max="1051" width="6.42578125" style="1" customWidth="1"/>
    <col min="1052" max="1052" width="15" style="1" customWidth="1"/>
    <col min="1053" max="1053" width="5.28515625" style="1" customWidth="1"/>
    <col min="1054" max="1056" width="4.7109375" style="1" customWidth="1"/>
    <col min="1057" max="1057" width="11.7109375" style="1" customWidth="1"/>
    <col min="1058" max="1058" width="10" style="1" customWidth="1"/>
    <col min="1059" max="1059" width="7.42578125" style="1" customWidth="1"/>
    <col min="1060" max="1060" width="7.140625" style="1" customWidth="1"/>
    <col min="1061" max="1061" width="6.42578125" style="1" customWidth="1"/>
    <col min="1062" max="1292" width="8.7109375" style="1"/>
    <col min="1293" max="1293" width="3.7109375" style="1" customWidth="1"/>
    <col min="1294" max="1294" width="4.28515625" style="1" customWidth="1"/>
    <col min="1295" max="1295" width="11.28515625" style="1" customWidth="1"/>
    <col min="1296" max="1296" width="13.42578125" style="1" customWidth="1"/>
    <col min="1297" max="1299" width="5.42578125" style="1" customWidth="1"/>
    <col min="1300" max="1300" width="8.28515625" style="1" customWidth="1"/>
    <col min="1301" max="1303" width="4.7109375" style="1" customWidth="1"/>
    <col min="1304" max="1304" width="11.7109375" style="1" customWidth="1"/>
    <col min="1305" max="1306" width="7" style="1" customWidth="1"/>
    <col min="1307" max="1307" width="6.42578125" style="1" customWidth="1"/>
    <col min="1308" max="1308" width="15" style="1" customWidth="1"/>
    <col min="1309" max="1309" width="5.28515625" style="1" customWidth="1"/>
    <col min="1310" max="1312" width="4.7109375" style="1" customWidth="1"/>
    <col min="1313" max="1313" width="11.7109375" style="1" customWidth="1"/>
    <col min="1314" max="1314" width="10" style="1" customWidth="1"/>
    <col min="1315" max="1315" width="7.42578125" style="1" customWidth="1"/>
    <col min="1316" max="1316" width="7.140625" style="1" customWidth="1"/>
    <col min="1317" max="1317" width="6.42578125" style="1" customWidth="1"/>
    <col min="1318" max="1548" width="8.7109375" style="1"/>
    <col min="1549" max="1549" width="3.7109375" style="1" customWidth="1"/>
    <col min="1550" max="1550" width="4.28515625" style="1" customWidth="1"/>
    <col min="1551" max="1551" width="11.28515625" style="1" customWidth="1"/>
    <col min="1552" max="1552" width="13.42578125" style="1" customWidth="1"/>
    <col min="1553" max="1555" width="5.42578125" style="1" customWidth="1"/>
    <col min="1556" max="1556" width="8.28515625" style="1" customWidth="1"/>
    <col min="1557" max="1559" width="4.7109375" style="1" customWidth="1"/>
    <col min="1560" max="1560" width="11.7109375" style="1" customWidth="1"/>
    <col min="1561" max="1562" width="7" style="1" customWidth="1"/>
    <col min="1563" max="1563" width="6.42578125" style="1" customWidth="1"/>
    <col min="1564" max="1564" width="15" style="1" customWidth="1"/>
    <col min="1565" max="1565" width="5.28515625" style="1" customWidth="1"/>
    <col min="1566" max="1568" width="4.7109375" style="1" customWidth="1"/>
    <col min="1569" max="1569" width="11.7109375" style="1" customWidth="1"/>
    <col min="1570" max="1570" width="10" style="1" customWidth="1"/>
    <col min="1571" max="1571" width="7.42578125" style="1" customWidth="1"/>
    <col min="1572" max="1572" width="7.140625" style="1" customWidth="1"/>
    <col min="1573" max="1573" width="6.42578125" style="1" customWidth="1"/>
    <col min="1574" max="1804" width="8.7109375" style="1"/>
    <col min="1805" max="1805" width="3.7109375" style="1" customWidth="1"/>
    <col min="1806" max="1806" width="4.28515625" style="1" customWidth="1"/>
    <col min="1807" max="1807" width="11.28515625" style="1" customWidth="1"/>
    <col min="1808" max="1808" width="13.42578125" style="1" customWidth="1"/>
    <col min="1809" max="1811" width="5.42578125" style="1" customWidth="1"/>
    <col min="1812" max="1812" width="8.28515625" style="1" customWidth="1"/>
    <col min="1813" max="1815" width="4.7109375" style="1" customWidth="1"/>
    <col min="1816" max="1816" width="11.7109375" style="1" customWidth="1"/>
    <col min="1817" max="1818" width="7" style="1" customWidth="1"/>
    <col min="1819" max="1819" width="6.42578125" style="1" customWidth="1"/>
    <col min="1820" max="1820" width="15" style="1" customWidth="1"/>
    <col min="1821" max="1821" width="5.28515625" style="1" customWidth="1"/>
    <col min="1822" max="1824" width="4.7109375" style="1" customWidth="1"/>
    <col min="1825" max="1825" width="11.7109375" style="1" customWidth="1"/>
    <col min="1826" max="1826" width="10" style="1" customWidth="1"/>
    <col min="1827" max="1827" width="7.42578125" style="1" customWidth="1"/>
    <col min="1828" max="1828" width="7.140625" style="1" customWidth="1"/>
    <col min="1829" max="1829" width="6.42578125" style="1" customWidth="1"/>
    <col min="1830" max="2060" width="8.7109375" style="1"/>
    <col min="2061" max="2061" width="3.7109375" style="1" customWidth="1"/>
    <col min="2062" max="2062" width="4.28515625" style="1" customWidth="1"/>
    <col min="2063" max="2063" width="11.28515625" style="1" customWidth="1"/>
    <col min="2064" max="2064" width="13.42578125" style="1" customWidth="1"/>
    <col min="2065" max="2067" width="5.42578125" style="1" customWidth="1"/>
    <col min="2068" max="2068" width="8.28515625" style="1" customWidth="1"/>
    <col min="2069" max="2071" width="4.7109375" style="1" customWidth="1"/>
    <col min="2072" max="2072" width="11.7109375" style="1" customWidth="1"/>
    <col min="2073" max="2074" width="7" style="1" customWidth="1"/>
    <col min="2075" max="2075" width="6.42578125" style="1" customWidth="1"/>
    <col min="2076" max="2076" width="15" style="1" customWidth="1"/>
    <col min="2077" max="2077" width="5.28515625" style="1" customWidth="1"/>
    <col min="2078" max="2080" width="4.7109375" style="1" customWidth="1"/>
    <col min="2081" max="2081" width="11.7109375" style="1" customWidth="1"/>
    <col min="2082" max="2082" width="10" style="1" customWidth="1"/>
    <col min="2083" max="2083" width="7.42578125" style="1" customWidth="1"/>
    <col min="2084" max="2084" width="7.140625" style="1" customWidth="1"/>
    <col min="2085" max="2085" width="6.42578125" style="1" customWidth="1"/>
    <col min="2086" max="2316" width="8.7109375" style="1"/>
    <col min="2317" max="2317" width="3.7109375" style="1" customWidth="1"/>
    <col min="2318" max="2318" width="4.28515625" style="1" customWidth="1"/>
    <col min="2319" max="2319" width="11.28515625" style="1" customWidth="1"/>
    <col min="2320" max="2320" width="13.42578125" style="1" customWidth="1"/>
    <col min="2321" max="2323" width="5.42578125" style="1" customWidth="1"/>
    <col min="2324" max="2324" width="8.28515625" style="1" customWidth="1"/>
    <col min="2325" max="2327" width="4.7109375" style="1" customWidth="1"/>
    <col min="2328" max="2328" width="11.7109375" style="1" customWidth="1"/>
    <col min="2329" max="2330" width="7" style="1" customWidth="1"/>
    <col min="2331" max="2331" width="6.42578125" style="1" customWidth="1"/>
    <col min="2332" max="2332" width="15" style="1" customWidth="1"/>
    <col min="2333" max="2333" width="5.28515625" style="1" customWidth="1"/>
    <col min="2334" max="2336" width="4.7109375" style="1" customWidth="1"/>
    <col min="2337" max="2337" width="11.7109375" style="1" customWidth="1"/>
    <col min="2338" max="2338" width="10" style="1" customWidth="1"/>
    <col min="2339" max="2339" width="7.42578125" style="1" customWidth="1"/>
    <col min="2340" max="2340" width="7.140625" style="1" customWidth="1"/>
    <col min="2341" max="2341" width="6.42578125" style="1" customWidth="1"/>
    <col min="2342" max="2572" width="8.7109375" style="1"/>
    <col min="2573" max="2573" width="3.7109375" style="1" customWidth="1"/>
    <col min="2574" max="2574" width="4.28515625" style="1" customWidth="1"/>
    <col min="2575" max="2575" width="11.28515625" style="1" customWidth="1"/>
    <col min="2576" max="2576" width="13.42578125" style="1" customWidth="1"/>
    <col min="2577" max="2579" width="5.42578125" style="1" customWidth="1"/>
    <col min="2580" max="2580" width="8.28515625" style="1" customWidth="1"/>
    <col min="2581" max="2583" width="4.7109375" style="1" customWidth="1"/>
    <col min="2584" max="2584" width="11.7109375" style="1" customWidth="1"/>
    <col min="2585" max="2586" width="7" style="1" customWidth="1"/>
    <col min="2587" max="2587" width="6.42578125" style="1" customWidth="1"/>
    <col min="2588" max="2588" width="15" style="1" customWidth="1"/>
    <col min="2589" max="2589" width="5.28515625" style="1" customWidth="1"/>
    <col min="2590" max="2592" width="4.7109375" style="1" customWidth="1"/>
    <col min="2593" max="2593" width="11.7109375" style="1" customWidth="1"/>
    <col min="2594" max="2594" width="10" style="1" customWidth="1"/>
    <col min="2595" max="2595" width="7.42578125" style="1" customWidth="1"/>
    <col min="2596" max="2596" width="7.140625" style="1" customWidth="1"/>
    <col min="2597" max="2597" width="6.42578125" style="1" customWidth="1"/>
    <col min="2598" max="2828" width="8.7109375" style="1"/>
    <col min="2829" max="2829" width="3.7109375" style="1" customWidth="1"/>
    <col min="2830" max="2830" width="4.28515625" style="1" customWidth="1"/>
    <col min="2831" max="2831" width="11.28515625" style="1" customWidth="1"/>
    <col min="2832" max="2832" width="13.42578125" style="1" customWidth="1"/>
    <col min="2833" max="2835" width="5.42578125" style="1" customWidth="1"/>
    <col min="2836" max="2836" width="8.28515625" style="1" customWidth="1"/>
    <col min="2837" max="2839" width="4.7109375" style="1" customWidth="1"/>
    <col min="2840" max="2840" width="11.7109375" style="1" customWidth="1"/>
    <col min="2841" max="2842" width="7" style="1" customWidth="1"/>
    <col min="2843" max="2843" width="6.42578125" style="1" customWidth="1"/>
    <col min="2844" max="2844" width="15" style="1" customWidth="1"/>
    <col min="2845" max="2845" width="5.28515625" style="1" customWidth="1"/>
    <col min="2846" max="2848" width="4.7109375" style="1" customWidth="1"/>
    <col min="2849" max="2849" width="11.7109375" style="1" customWidth="1"/>
    <col min="2850" max="2850" width="10" style="1" customWidth="1"/>
    <col min="2851" max="2851" width="7.42578125" style="1" customWidth="1"/>
    <col min="2852" max="2852" width="7.140625" style="1" customWidth="1"/>
    <col min="2853" max="2853" width="6.42578125" style="1" customWidth="1"/>
    <col min="2854" max="3084" width="8.7109375" style="1"/>
    <col min="3085" max="3085" width="3.7109375" style="1" customWidth="1"/>
    <col min="3086" max="3086" width="4.28515625" style="1" customWidth="1"/>
    <col min="3087" max="3087" width="11.28515625" style="1" customWidth="1"/>
    <col min="3088" max="3088" width="13.42578125" style="1" customWidth="1"/>
    <col min="3089" max="3091" width="5.42578125" style="1" customWidth="1"/>
    <col min="3092" max="3092" width="8.28515625" style="1" customWidth="1"/>
    <col min="3093" max="3095" width="4.7109375" style="1" customWidth="1"/>
    <col min="3096" max="3096" width="11.7109375" style="1" customWidth="1"/>
    <col min="3097" max="3098" width="7" style="1" customWidth="1"/>
    <col min="3099" max="3099" width="6.42578125" style="1" customWidth="1"/>
    <col min="3100" max="3100" width="15" style="1" customWidth="1"/>
    <col min="3101" max="3101" width="5.28515625" style="1" customWidth="1"/>
    <col min="3102" max="3104" width="4.7109375" style="1" customWidth="1"/>
    <col min="3105" max="3105" width="11.7109375" style="1" customWidth="1"/>
    <col min="3106" max="3106" width="10" style="1" customWidth="1"/>
    <col min="3107" max="3107" width="7.42578125" style="1" customWidth="1"/>
    <col min="3108" max="3108" width="7.140625" style="1" customWidth="1"/>
    <col min="3109" max="3109" width="6.42578125" style="1" customWidth="1"/>
    <col min="3110" max="3340" width="8.7109375" style="1"/>
    <col min="3341" max="3341" width="3.7109375" style="1" customWidth="1"/>
    <col min="3342" max="3342" width="4.28515625" style="1" customWidth="1"/>
    <col min="3343" max="3343" width="11.28515625" style="1" customWidth="1"/>
    <col min="3344" max="3344" width="13.42578125" style="1" customWidth="1"/>
    <col min="3345" max="3347" width="5.42578125" style="1" customWidth="1"/>
    <col min="3348" max="3348" width="8.28515625" style="1" customWidth="1"/>
    <col min="3349" max="3351" width="4.7109375" style="1" customWidth="1"/>
    <col min="3352" max="3352" width="11.7109375" style="1" customWidth="1"/>
    <col min="3353" max="3354" width="7" style="1" customWidth="1"/>
    <col min="3355" max="3355" width="6.42578125" style="1" customWidth="1"/>
    <col min="3356" max="3356" width="15" style="1" customWidth="1"/>
    <col min="3357" max="3357" width="5.28515625" style="1" customWidth="1"/>
    <col min="3358" max="3360" width="4.7109375" style="1" customWidth="1"/>
    <col min="3361" max="3361" width="11.7109375" style="1" customWidth="1"/>
    <col min="3362" max="3362" width="10" style="1" customWidth="1"/>
    <col min="3363" max="3363" width="7.42578125" style="1" customWidth="1"/>
    <col min="3364" max="3364" width="7.140625" style="1" customWidth="1"/>
    <col min="3365" max="3365" width="6.42578125" style="1" customWidth="1"/>
    <col min="3366" max="3596" width="8.7109375" style="1"/>
    <col min="3597" max="3597" width="3.7109375" style="1" customWidth="1"/>
    <col min="3598" max="3598" width="4.28515625" style="1" customWidth="1"/>
    <col min="3599" max="3599" width="11.28515625" style="1" customWidth="1"/>
    <col min="3600" max="3600" width="13.42578125" style="1" customWidth="1"/>
    <col min="3601" max="3603" width="5.42578125" style="1" customWidth="1"/>
    <col min="3604" max="3604" width="8.28515625" style="1" customWidth="1"/>
    <col min="3605" max="3607" width="4.7109375" style="1" customWidth="1"/>
    <col min="3608" max="3608" width="11.7109375" style="1" customWidth="1"/>
    <col min="3609" max="3610" width="7" style="1" customWidth="1"/>
    <col min="3611" max="3611" width="6.42578125" style="1" customWidth="1"/>
    <col min="3612" max="3612" width="15" style="1" customWidth="1"/>
    <col min="3613" max="3613" width="5.28515625" style="1" customWidth="1"/>
    <col min="3614" max="3616" width="4.7109375" style="1" customWidth="1"/>
    <col min="3617" max="3617" width="11.7109375" style="1" customWidth="1"/>
    <col min="3618" max="3618" width="10" style="1" customWidth="1"/>
    <col min="3619" max="3619" width="7.42578125" style="1" customWidth="1"/>
    <col min="3620" max="3620" width="7.140625" style="1" customWidth="1"/>
    <col min="3621" max="3621" width="6.42578125" style="1" customWidth="1"/>
    <col min="3622" max="3852" width="8.7109375" style="1"/>
    <col min="3853" max="3853" width="3.7109375" style="1" customWidth="1"/>
    <col min="3854" max="3854" width="4.28515625" style="1" customWidth="1"/>
    <col min="3855" max="3855" width="11.28515625" style="1" customWidth="1"/>
    <col min="3856" max="3856" width="13.42578125" style="1" customWidth="1"/>
    <col min="3857" max="3859" width="5.42578125" style="1" customWidth="1"/>
    <col min="3860" max="3860" width="8.28515625" style="1" customWidth="1"/>
    <col min="3861" max="3863" width="4.7109375" style="1" customWidth="1"/>
    <col min="3864" max="3864" width="11.7109375" style="1" customWidth="1"/>
    <col min="3865" max="3866" width="7" style="1" customWidth="1"/>
    <col min="3867" max="3867" width="6.42578125" style="1" customWidth="1"/>
    <col min="3868" max="3868" width="15" style="1" customWidth="1"/>
    <col min="3869" max="3869" width="5.28515625" style="1" customWidth="1"/>
    <col min="3870" max="3872" width="4.7109375" style="1" customWidth="1"/>
    <col min="3873" max="3873" width="11.7109375" style="1" customWidth="1"/>
    <col min="3874" max="3874" width="10" style="1" customWidth="1"/>
    <col min="3875" max="3875" width="7.42578125" style="1" customWidth="1"/>
    <col min="3876" max="3876" width="7.140625" style="1" customWidth="1"/>
    <col min="3877" max="3877" width="6.42578125" style="1" customWidth="1"/>
    <col min="3878" max="4108" width="8.7109375" style="1"/>
    <col min="4109" max="4109" width="3.7109375" style="1" customWidth="1"/>
    <col min="4110" max="4110" width="4.28515625" style="1" customWidth="1"/>
    <col min="4111" max="4111" width="11.28515625" style="1" customWidth="1"/>
    <col min="4112" max="4112" width="13.42578125" style="1" customWidth="1"/>
    <col min="4113" max="4115" width="5.42578125" style="1" customWidth="1"/>
    <col min="4116" max="4116" width="8.28515625" style="1" customWidth="1"/>
    <col min="4117" max="4119" width="4.7109375" style="1" customWidth="1"/>
    <col min="4120" max="4120" width="11.7109375" style="1" customWidth="1"/>
    <col min="4121" max="4122" width="7" style="1" customWidth="1"/>
    <col min="4123" max="4123" width="6.42578125" style="1" customWidth="1"/>
    <col min="4124" max="4124" width="15" style="1" customWidth="1"/>
    <col min="4125" max="4125" width="5.28515625" style="1" customWidth="1"/>
    <col min="4126" max="4128" width="4.7109375" style="1" customWidth="1"/>
    <col min="4129" max="4129" width="11.7109375" style="1" customWidth="1"/>
    <col min="4130" max="4130" width="10" style="1" customWidth="1"/>
    <col min="4131" max="4131" width="7.42578125" style="1" customWidth="1"/>
    <col min="4132" max="4132" width="7.140625" style="1" customWidth="1"/>
    <col min="4133" max="4133" width="6.42578125" style="1" customWidth="1"/>
    <col min="4134" max="4364" width="8.7109375" style="1"/>
    <col min="4365" max="4365" width="3.7109375" style="1" customWidth="1"/>
    <col min="4366" max="4366" width="4.28515625" style="1" customWidth="1"/>
    <col min="4367" max="4367" width="11.28515625" style="1" customWidth="1"/>
    <col min="4368" max="4368" width="13.42578125" style="1" customWidth="1"/>
    <col min="4369" max="4371" width="5.42578125" style="1" customWidth="1"/>
    <col min="4372" max="4372" width="8.28515625" style="1" customWidth="1"/>
    <col min="4373" max="4375" width="4.7109375" style="1" customWidth="1"/>
    <col min="4376" max="4376" width="11.7109375" style="1" customWidth="1"/>
    <col min="4377" max="4378" width="7" style="1" customWidth="1"/>
    <col min="4379" max="4379" width="6.42578125" style="1" customWidth="1"/>
    <col min="4380" max="4380" width="15" style="1" customWidth="1"/>
    <col min="4381" max="4381" width="5.28515625" style="1" customWidth="1"/>
    <col min="4382" max="4384" width="4.7109375" style="1" customWidth="1"/>
    <col min="4385" max="4385" width="11.7109375" style="1" customWidth="1"/>
    <col min="4386" max="4386" width="10" style="1" customWidth="1"/>
    <col min="4387" max="4387" width="7.42578125" style="1" customWidth="1"/>
    <col min="4388" max="4388" width="7.140625" style="1" customWidth="1"/>
    <col min="4389" max="4389" width="6.42578125" style="1" customWidth="1"/>
    <col min="4390" max="4620" width="8.7109375" style="1"/>
    <col min="4621" max="4621" width="3.7109375" style="1" customWidth="1"/>
    <col min="4622" max="4622" width="4.28515625" style="1" customWidth="1"/>
    <col min="4623" max="4623" width="11.28515625" style="1" customWidth="1"/>
    <col min="4624" max="4624" width="13.42578125" style="1" customWidth="1"/>
    <col min="4625" max="4627" width="5.42578125" style="1" customWidth="1"/>
    <col min="4628" max="4628" width="8.28515625" style="1" customWidth="1"/>
    <col min="4629" max="4631" width="4.7109375" style="1" customWidth="1"/>
    <col min="4632" max="4632" width="11.7109375" style="1" customWidth="1"/>
    <col min="4633" max="4634" width="7" style="1" customWidth="1"/>
    <col min="4635" max="4635" width="6.42578125" style="1" customWidth="1"/>
    <col min="4636" max="4636" width="15" style="1" customWidth="1"/>
    <col min="4637" max="4637" width="5.28515625" style="1" customWidth="1"/>
    <col min="4638" max="4640" width="4.7109375" style="1" customWidth="1"/>
    <col min="4641" max="4641" width="11.7109375" style="1" customWidth="1"/>
    <col min="4642" max="4642" width="10" style="1" customWidth="1"/>
    <col min="4643" max="4643" width="7.42578125" style="1" customWidth="1"/>
    <col min="4644" max="4644" width="7.140625" style="1" customWidth="1"/>
    <col min="4645" max="4645" width="6.42578125" style="1" customWidth="1"/>
    <col min="4646" max="4876" width="8.7109375" style="1"/>
    <col min="4877" max="4877" width="3.7109375" style="1" customWidth="1"/>
    <col min="4878" max="4878" width="4.28515625" style="1" customWidth="1"/>
    <col min="4879" max="4879" width="11.28515625" style="1" customWidth="1"/>
    <col min="4880" max="4880" width="13.42578125" style="1" customWidth="1"/>
    <col min="4881" max="4883" width="5.42578125" style="1" customWidth="1"/>
    <col min="4884" max="4884" width="8.28515625" style="1" customWidth="1"/>
    <col min="4885" max="4887" width="4.7109375" style="1" customWidth="1"/>
    <col min="4888" max="4888" width="11.7109375" style="1" customWidth="1"/>
    <col min="4889" max="4890" width="7" style="1" customWidth="1"/>
    <col min="4891" max="4891" width="6.42578125" style="1" customWidth="1"/>
    <col min="4892" max="4892" width="15" style="1" customWidth="1"/>
    <col min="4893" max="4893" width="5.28515625" style="1" customWidth="1"/>
    <col min="4894" max="4896" width="4.7109375" style="1" customWidth="1"/>
    <col min="4897" max="4897" width="11.7109375" style="1" customWidth="1"/>
    <col min="4898" max="4898" width="10" style="1" customWidth="1"/>
    <col min="4899" max="4899" width="7.42578125" style="1" customWidth="1"/>
    <col min="4900" max="4900" width="7.140625" style="1" customWidth="1"/>
    <col min="4901" max="4901" width="6.42578125" style="1" customWidth="1"/>
    <col min="4902" max="5132" width="8.7109375" style="1"/>
    <col min="5133" max="5133" width="3.7109375" style="1" customWidth="1"/>
    <col min="5134" max="5134" width="4.28515625" style="1" customWidth="1"/>
    <col min="5135" max="5135" width="11.28515625" style="1" customWidth="1"/>
    <col min="5136" max="5136" width="13.42578125" style="1" customWidth="1"/>
    <col min="5137" max="5139" width="5.42578125" style="1" customWidth="1"/>
    <col min="5140" max="5140" width="8.28515625" style="1" customWidth="1"/>
    <col min="5141" max="5143" width="4.7109375" style="1" customWidth="1"/>
    <col min="5144" max="5144" width="11.7109375" style="1" customWidth="1"/>
    <col min="5145" max="5146" width="7" style="1" customWidth="1"/>
    <col min="5147" max="5147" width="6.42578125" style="1" customWidth="1"/>
    <col min="5148" max="5148" width="15" style="1" customWidth="1"/>
    <col min="5149" max="5149" width="5.28515625" style="1" customWidth="1"/>
    <col min="5150" max="5152" width="4.7109375" style="1" customWidth="1"/>
    <col min="5153" max="5153" width="11.7109375" style="1" customWidth="1"/>
    <col min="5154" max="5154" width="10" style="1" customWidth="1"/>
    <col min="5155" max="5155" width="7.42578125" style="1" customWidth="1"/>
    <col min="5156" max="5156" width="7.140625" style="1" customWidth="1"/>
    <col min="5157" max="5157" width="6.42578125" style="1" customWidth="1"/>
    <col min="5158" max="5388" width="8.7109375" style="1"/>
    <col min="5389" max="5389" width="3.7109375" style="1" customWidth="1"/>
    <col min="5390" max="5390" width="4.28515625" style="1" customWidth="1"/>
    <col min="5391" max="5391" width="11.28515625" style="1" customWidth="1"/>
    <col min="5392" max="5392" width="13.42578125" style="1" customWidth="1"/>
    <col min="5393" max="5395" width="5.42578125" style="1" customWidth="1"/>
    <col min="5396" max="5396" width="8.28515625" style="1" customWidth="1"/>
    <col min="5397" max="5399" width="4.7109375" style="1" customWidth="1"/>
    <col min="5400" max="5400" width="11.7109375" style="1" customWidth="1"/>
    <col min="5401" max="5402" width="7" style="1" customWidth="1"/>
    <col min="5403" max="5403" width="6.42578125" style="1" customWidth="1"/>
    <col min="5404" max="5404" width="15" style="1" customWidth="1"/>
    <col min="5405" max="5405" width="5.28515625" style="1" customWidth="1"/>
    <col min="5406" max="5408" width="4.7109375" style="1" customWidth="1"/>
    <col min="5409" max="5409" width="11.7109375" style="1" customWidth="1"/>
    <col min="5410" max="5410" width="10" style="1" customWidth="1"/>
    <col min="5411" max="5411" width="7.42578125" style="1" customWidth="1"/>
    <col min="5412" max="5412" width="7.140625" style="1" customWidth="1"/>
    <col min="5413" max="5413" width="6.42578125" style="1" customWidth="1"/>
    <col min="5414" max="5644" width="8.7109375" style="1"/>
    <col min="5645" max="5645" width="3.7109375" style="1" customWidth="1"/>
    <col min="5646" max="5646" width="4.28515625" style="1" customWidth="1"/>
    <col min="5647" max="5647" width="11.28515625" style="1" customWidth="1"/>
    <col min="5648" max="5648" width="13.42578125" style="1" customWidth="1"/>
    <col min="5649" max="5651" width="5.42578125" style="1" customWidth="1"/>
    <col min="5652" max="5652" width="8.28515625" style="1" customWidth="1"/>
    <col min="5653" max="5655" width="4.7109375" style="1" customWidth="1"/>
    <col min="5656" max="5656" width="11.7109375" style="1" customWidth="1"/>
    <col min="5657" max="5658" width="7" style="1" customWidth="1"/>
    <col min="5659" max="5659" width="6.42578125" style="1" customWidth="1"/>
    <col min="5660" max="5660" width="15" style="1" customWidth="1"/>
    <col min="5661" max="5661" width="5.28515625" style="1" customWidth="1"/>
    <col min="5662" max="5664" width="4.7109375" style="1" customWidth="1"/>
    <col min="5665" max="5665" width="11.7109375" style="1" customWidth="1"/>
    <col min="5666" max="5666" width="10" style="1" customWidth="1"/>
    <col min="5667" max="5667" width="7.42578125" style="1" customWidth="1"/>
    <col min="5668" max="5668" width="7.140625" style="1" customWidth="1"/>
    <col min="5669" max="5669" width="6.42578125" style="1" customWidth="1"/>
    <col min="5670" max="5900" width="8.7109375" style="1"/>
    <col min="5901" max="5901" width="3.7109375" style="1" customWidth="1"/>
    <col min="5902" max="5902" width="4.28515625" style="1" customWidth="1"/>
    <col min="5903" max="5903" width="11.28515625" style="1" customWidth="1"/>
    <col min="5904" max="5904" width="13.42578125" style="1" customWidth="1"/>
    <col min="5905" max="5907" width="5.42578125" style="1" customWidth="1"/>
    <col min="5908" max="5908" width="8.28515625" style="1" customWidth="1"/>
    <col min="5909" max="5911" width="4.7109375" style="1" customWidth="1"/>
    <col min="5912" max="5912" width="11.7109375" style="1" customWidth="1"/>
    <col min="5913" max="5914" width="7" style="1" customWidth="1"/>
    <col min="5915" max="5915" width="6.42578125" style="1" customWidth="1"/>
    <col min="5916" max="5916" width="15" style="1" customWidth="1"/>
    <col min="5917" max="5917" width="5.28515625" style="1" customWidth="1"/>
    <col min="5918" max="5920" width="4.7109375" style="1" customWidth="1"/>
    <col min="5921" max="5921" width="11.7109375" style="1" customWidth="1"/>
    <col min="5922" max="5922" width="10" style="1" customWidth="1"/>
    <col min="5923" max="5923" width="7.42578125" style="1" customWidth="1"/>
    <col min="5924" max="5924" width="7.140625" style="1" customWidth="1"/>
    <col min="5925" max="5925" width="6.42578125" style="1" customWidth="1"/>
    <col min="5926" max="6156" width="8.7109375" style="1"/>
    <col min="6157" max="6157" width="3.7109375" style="1" customWidth="1"/>
    <col min="6158" max="6158" width="4.28515625" style="1" customWidth="1"/>
    <col min="6159" max="6159" width="11.28515625" style="1" customWidth="1"/>
    <col min="6160" max="6160" width="13.42578125" style="1" customWidth="1"/>
    <col min="6161" max="6163" width="5.42578125" style="1" customWidth="1"/>
    <col min="6164" max="6164" width="8.28515625" style="1" customWidth="1"/>
    <col min="6165" max="6167" width="4.7109375" style="1" customWidth="1"/>
    <col min="6168" max="6168" width="11.7109375" style="1" customWidth="1"/>
    <col min="6169" max="6170" width="7" style="1" customWidth="1"/>
    <col min="6171" max="6171" width="6.42578125" style="1" customWidth="1"/>
    <col min="6172" max="6172" width="15" style="1" customWidth="1"/>
    <col min="6173" max="6173" width="5.28515625" style="1" customWidth="1"/>
    <col min="6174" max="6176" width="4.7109375" style="1" customWidth="1"/>
    <col min="6177" max="6177" width="11.7109375" style="1" customWidth="1"/>
    <col min="6178" max="6178" width="10" style="1" customWidth="1"/>
    <col min="6179" max="6179" width="7.42578125" style="1" customWidth="1"/>
    <col min="6180" max="6180" width="7.140625" style="1" customWidth="1"/>
    <col min="6181" max="6181" width="6.42578125" style="1" customWidth="1"/>
    <col min="6182" max="6412" width="8.7109375" style="1"/>
    <col min="6413" max="6413" width="3.7109375" style="1" customWidth="1"/>
    <col min="6414" max="6414" width="4.28515625" style="1" customWidth="1"/>
    <col min="6415" max="6415" width="11.28515625" style="1" customWidth="1"/>
    <col min="6416" max="6416" width="13.42578125" style="1" customWidth="1"/>
    <col min="6417" max="6419" width="5.42578125" style="1" customWidth="1"/>
    <col min="6420" max="6420" width="8.28515625" style="1" customWidth="1"/>
    <col min="6421" max="6423" width="4.7109375" style="1" customWidth="1"/>
    <col min="6424" max="6424" width="11.7109375" style="1" customWidth="1"/>
    <col min="6425" max="6426" width="7" style="1" customWidth="1"/>
    <col min="6427" max="6427" width="6.42578125" style="1" customWidth="1"/>
    <col min="6428" max="6428" width="15" style="1" customWidth="1"/>
    <col min="6429" max="6429" width="5.28515625" style="1" customWidth="1"/>
    <col min="6430" max="6432" width="4.7109375" style="1" customWidth="1"/>
    <col min="6433" max="6433" width="11.7109375" style="1" customWidth="1"/>
    <col min="6434" max="6434" width="10" style="1" customWidth="1"/>
    <col min="6435" max="6435" width="7.42578125" style="1" customWidth="1"/>
    <col min="6436" max="6436" width="7.140625" style="1" customWidth="1"/>
    <col min="6437" max="6437" width="6.42578125" style="1" customWidth="1"/>
    <col min="6438" max="6668" width="8.7109375" style="1"/>
    <col min="6669" max="6669" width="3.7109375" style="1" customWidth="1"/>
    <col min="6670" max="6670" width="4.28515625" style="1" customWidth="1"/>
    <col min="6671" max="6671" width="11.28515625" style="1" customWidth="1"/>
    <col min="6672" max="6672" width="13.42578125" style="1" customWidth="1"/>
    <col min="6673" max="6675" width="5.42578125" style="1" customWidth="1"/>
    <col min="6676" max="6676" width="8.28515625" style="1" customWidth="1"/>
    <col min="6677" max="6679" width="4.7109375" style="1" customWidth="1"/>
    <col min="6680" max="6680" width="11.7109375" style="1" customWidth="1"/>
    <col min="6681" max="6682" width="7" style="1" customWidth="1"/>
    <col min="6683" max="6683" width="6.42578125" style="1" customWidth="1"/>
    <col min="6684" max="6684" width="15" style="1" customWidth="1"/>
    <col min="6685" max="6685" width="5.28515625" style="1" customWidth="1"/>
    <col min="6686" max="6688" width="4.7109375" style="1" customWidth="1"/>
    <col min="6689" max="6689" width="11.7109375" style="1" customWidth="1"/>
    <col min="6690" max="6690" width="10" style="1" customWidth="1"/>
    <col min="6691" max="6691" width="7.42578125" style="1" customWidth="1"/>
    <col min="6692" max="6692" width="7.140625" style="1" customWidth="1"/>
    <col min="6693" max="6693" width="6.42578125" style="1" customWidth="1"/>
    <col min="6694" max="6924" width="8.7109375" style="1"/>
    <col min="6925" max="6925" width="3.7109375" style="1" customWidth="1"/>
    <col min="6926" max="6926" width="4.28515625" style="1" customWidth="1"/>
    <col min="6927" max="6927" width="11.28515625" style="1" customWidth="1"/>
    <col min="6928" max="6928" width="13.42578125" style="1" customWidth="1"/>
    <col min="6929" max="6931" width="5.42578125" style="1" customWidth="1"/>
    <col min="6932" max="6932" width="8.28515625" style="1" customWidth="1"/>
    <col min="6933" max="6935" width="4.7109375" style="1" customWidth="1"/>
    <col min="6936" max="6936" width="11.7109375" style="1" customWidth="1"/>
    <col min="6937" max="6938" width="7" style="1" customWidth="1"/>
    <col min="6939" max="6939" width="6.42578125" style="1" customWidth="1"/>
    <col min="6940" max="6940" width="15" style="1" customWidth="1"/>
    <col min="6941" max="6941" width="5.28515625" style="1" customWidth="1"/>
    <col min="6942" max="6944" width="4.7109375" style="1" customWidth="1"/>
    <col min="6945" max="6945" width="11.7109375" style="1" customWidth="1"/>
    <col min="6946" max="6946" width="10" style="1" customWidth="1"/>
    <col min="6947" max="6947" width="7.42578125" style="1" customWidth="1"/>
    <col min="6948" max="6948" width="7.140625" style="1" customWidth="1"/>
    <col min="6949" max="6949" width="6.42578125" style="1" customWidth="1"/>
    <col min="6950" max="7180" width="8.7109375" style="1"/>
    <col min="7181" max="7181" width="3.7109375" style="1" customWidth="1"/>
    <col min="7182" max="7182" width="4.28515625" style="1" customWidth="1"/>
    <col min="7183" max="7183" width="11.28515625" style="1" customWidth="1"/>
    <col min="7184" max="7184" width="13.42578125" style="1" customWidth="1"/>
    <col min="7185" max="7187" width="5.42578125" style="1" customWidth="1"/>
    <col min="7188" max="7188" width="8.28515625" style="1" customWidth="1"/>
    <col min="7189" max="7191" width="4.7109375" style="1" customWidth="1"/>
    <col min="7192" max="7192" width="11.7109375" style="1" customWidth="1"/>
    <col min="7193" max="7194" width="7" style="1" customWidth="1"/>
    <col min="7195" max="7195" width="6.42578125" style="1" customWidth="1"/>
    <col min="7196" max="7196" width="15" style="1" customWidth="1"/>
    <col min="7197" max="7197" width="5.28515625" style="1" customWidth="1"/>
    <col min="7198" max="7200" width="4.7109375" style="1" customWidth="1"/>
    <col min="7201" max="7201" width="11.7109375" style="1" customWidth="1"/>
    <col min="7202" max="7202" width="10" style="1" customWidth="1"/>
    <col min="7203" max="7203" width="7.42578125" style="1" customWidth="1"/>
    <col min="7204" max="7204" width="7.140625" style="1" customWidth="1"/>
    <col min="7205" max="7205" width="6.42578125" style="1" customWidth="1"/>
    <col min="7206" max="7436" width="8.7109375" style="1"/>
    <col min="7437" max="7437" width="3.7109375" style="1" customWidth="1"/>
    <col min="7438" max="7438" width="4.28515625" style="1" customWidth="1"/>
    <col min="7439" max="7439" width="11.28515625" style="1" customWidth="1"/>
    <col min="7440" max="7440" width="13.42578125" style="1" customWidth="1"/>
    <col min="7441" max="7443" width="5.42578125" style="1" customWidth="1"/>
    <col min="7444" max="7444" width="8.28515625" style="1" customWidth="1"/>
    <col min="7445" max="7447" width="4.7109375" style="1" customWidth="1"/>
    <col min="7448" max="7448" width="11.7109375" style="1" customWidth="1"/>
    <col min="7449" max="7450" width="7" style="1" customWidth="1"/>
    <col min="7451" max="7451" width="6.42578125" style="1" customWidth="1"/>
    <col min="7452" max="7452" width="15" style="1" customWidth="1"/>
    <col min="7453" max="7453" width="5.28515625" style="1" customWidth="1"/>
    <col min="7454" max="7456" width="4.7109375" style="1" customWidth="1"/>
    <col min="7457" max="7457" width="11.7109375" style="1" customWidth="1"/>
    <col min="7458" max="7458" width="10" style="1" customWidth="1"/>
    <col min="7459" max="7459" width="7.42578125" style="1" customWidth="1"/>
    <col min="7460" max="7460" width="7.140625" style="1" customWidth="1"/>
    <col min="7461" max="7461" width="6.42578125" style="1" customWidth="1"/>
    <col min="7462" max="7692" width="8.7109375" style="1"/>
    <col min="7693" max="7693" width="3.7109375" style="1" customWidth="1"/>
    <col min="7694" max="7694" width="4.28515625" style="1" customWidth="1"/>
    <col min="7695" max="7695" width="11.28515625" style="1" customWidth="1"/>
    <col min="7696" max="7696" width="13.42578125" style="1" customWidth="1"/>
    <col min="7697" max="7699" width="5.42578125" style="1" customWidth="1"/>
    <col min="7700" max="7700" width="8.28515625" style="1" customWidth="1"/>
    <col min="7701" max="7703" width="4.7109375" style="1" customWidth="1"/>
    <col min="7704" max="7704" width="11.7109375" style="1" customWidth="1"/>
    <col min="7705" max="7706" width="7" style="1" customWidth="1"/>
    <col min="7707" max="7707" width="6.42578125" style="1" customWidth="1"/>
    <col min="7708" max="7708" width="15" style="1" customWidth="1"/>
    <col min="7709" max="7709" width="5.28515625" style="1" customWidth="1"/>
    <col min="7710" max="7712" width="4.7109375" style="1" customWidth="1"/>
    <col min="7713" max="7713" width="11.7109375" style="1" customWidth="1"/>
    <col min="7714" max="7714" width="10" style="1" customWidth="1"/>
    <col min="7715" max="7715" width="7.42578125" style="1" customWidth="1"/>
    <col min="7716" max="7716" width="7.140625" style="1" customWidth="1"/>
    <col min="7717" max="7717" width="6.42578125" style="1" customWidth="1"/>
    <col min="7718" max="7948" width="8.7109375" style="1"/>
    <col min="7949" max="7949" width="3.7109375" style="1" customWidth="1"/>
    <col min="7950" max="7950" width="4.28515625" style="1" customWidth="1"/>
    <col min="7951" max="7951" width="11.28515625" style="1" customWidth="1"/>
    <col min="7952" max="7952" width="13.42578125" style="1" customWidth="1"/>
    <col min="7953" max="7955" width="5.42578125" style="1" customWidth="1"/>
    <col min="7956" max="7956" width="8.28515625" style="1" customWidth="1"/>
    <col min="7957" max="7959" width="4.7109375" style="1" customWidth="1"/>
    <col min="7960" max="7960" width="11.7109375" style="1" customWidth="1"/>
    <col min="7961" max="7962" width="7" style="1" customWidth="1"/>
    <col min="7963" max="7963" width="6.42578125" style="1" customWidth="1"/>
    <col min="7964" max="7964" width="15" style="1" customWidth="1"/>
    <col min="7965" max="7965" width="5.28515625" style="1" customWidth="1"/>
    <col min="7966" max="7968" width="4.7109375" style="1" customWidth="1"/>
    <col min="7969" max="7969" width="11.7109375" style="1" customWidth="1"/>
    <col min="7970" max="7970" width="10" style="1" customWidth="1"/>
    <col min="7971" max="7971" width="7.42578125" style="1" customWidth="1"/>
    <col min="7972" max="7972" width="7.140625" style="1" customWidth="1"/>
    <col min="7973" max="7973" width="6.42578125" style="1" customWidth="1"/>
    <col min="7974" max="8204" width="8.7109375" style="1"/>
    <col min="8205" max="8205" width="3.7109375" style="1" customWidth="1"/>
    <col min="8206" max="8206" width="4.28515625" style="1" customWidth="1"/>
    <col min="8207" max="8207" width="11.28515625" style="1" customWidth="1"/>
    <col min="8208" max="8208" width="13.42578125" style="1" customWidth="1"/>
    <col min="8209" max="8211" width="5.42578125" style="1" customWidth="1"/>
    <col min="8212" max="8212" width="8.28515625" style="1" customWidth="1"/>
    <col min="8213" max="8215" width="4.7109375" style="1" customWidth="1"/>
    <col min="8216" max="8216" width="11.7109375" style="1" customWidth="1"/>
    <col min="8217" max="8218" width="7" style="1" customWidth="1"/>
    <col min="8219" max="8219" width="6.42578125" style="1" customWidth="1"/>
    <col min="8220" max="8220" width="15" style="1" customWidth="1"/>
    <col min="8221" max="8221" width="5.28515625" style="1" customWidth="1"/>
    <col min="8222" max="8224" width="4.7109375" style="1" customWidth="1"/>
    <col min="8225" max="8225" width="11.7109375" style="1" customWidth="1"/>
    <col min="8226" max="8226" width="10" style="1" customWidth="1"/>
    <col min="8227" max="8227" width="7.42578125" style="1" customWidth="1"/>
    <col min="8228" max="8228" width="7.140625" style="1" customWidth="1"/>
    <col min="8229" max="8229" width="6.42578125" style="1" customWidth="1"/>
    <col min="8230" max="8460" width="8.7109375" style="1"/>
    <col min="8461" max="8461" width="3.7109375" style="1" customWidth="1"/>
    <col min="8462" max="8462" width="4.28515625" style="1" customWidth="1"/>
    <col min="8463" max="8463" width="11.28515625" style="1" customWidth="1"/>
    <col min="8464" max="8464" width="13.42578125" style="1" customWidth="1"/>
    <col min="8465" max="8467" width="5.42578125" style="1" customWidth="1"/>
    <col min="8468" max="8468" width="8.28515625" style="1" customWidth="1"/>
    <col min="8469" max="8471" width="4.7109375" style="1" customWidth="1"/>
    <col min="8472" max="8472" width="11.7109375" style="1" customWidth="1"/>
    <col min="8473" max="8474" width="7" style="1" customWidth="1"/>
    <col min="8475" max="8475" width="6.42578125" style="1" customWidth="1"/>
    <col min="8476" max="8476" width="15" style="1" customWidth="1"/>
    <col min="8477" max="8477" width="5.28515625" style="1" customWidth="1"/>
    <col min="8478" max="8480" width="4.7109375" style="1" customWidth="1"/>
    <col min="8481" max="8481" width="11.7109375" style="1" customWidth="1"/>
    <col min="8482" max="8482" width="10" style="1" customWidth="1"/>
    <col min="8483" max="8483" width="7.42578125" style="1" customWidth="1"/>
    <col min="8484" max="8484" width="7.140625" style="1" customWidth="1"/>
    <col min="8485" max="8485" width="6.42578125" style="1" customWidth="1"/>
    <col min="8486" max="8716" width="8.7109375" style="1"/>
    <col min="8717" max="8717" width="3.7109375" style="1" customWidth="1"/>
    <col min="8718" max="8718" width="4.28515625" style="1" customWidth="1"/>
    <col min="8719" max="8719" width="11.28515625" style="1" customWidth="1"/>
    <col min="8720" max="8720" width="13.42578125" style="1" customWidth="1"/>
    <col min="8721" max="8723" width="5.42578125" style="1" customWidth="1"/>
    <col min="8724" max="8724" width="8.28515625" style="1" customWidth="1"/>
    <col min="8725" max="8727" width="4.7109375" style="1" customWidth="1"/>
    <col min="8728" max="8728" width="11.7109375" style="1" customWidth="1"/>
    <col min="8729" max="8730" width="7" style="1" customWidth="1"/>
    <col min="8731" max="8731" width="6.42578125" style="1" customWidth="1"/>
    <col min="8732" max="8732" width="15" style="1" customWidth="1"/>
    <col min="8733" max="8733" width="5.28515625" style="1" customWidth="1"/>
    <col min="8734" max="8736" width="4.7109375" style="1" customWidth="1"/>
    <col min="8737" max="8737" width="11.7109375" style="1" customWidth="1"/>
    <col min="8738" max="8738" width="10" style="1" customWidth="1"/>
    <col min="8739" max="8739" width="7.42578125" style="1" customWidth="1"/>
    <col min="8740" max="8740" width="7.140625" style="1" customWidth="1"/>
    <col min="8741" max="8741" width="6.42578125" style="1" customWidth="1"/>
    <col min="8742" max="8972" width="8.7109375" style="1"/>
    <col min="8973" max="8973" width="3.7109375" style="1" customWidth="1"/>
    <col min="8974" max="8974" width="4.28515625" style="1" customWidth="1"/>
    <col min="8975" max="8975" width="11.28515625" style="1" customWidth="1"/>
    <col min="8976" max="8976" width="13.42578125" style="1" customWidth="1"/>
    <col min="8977" max="8979" width="5.42578125" style="1" customWidth="1"/>
    <col min="8980" max="8980" width="8.28515625" style="1" customWidth="1"/>
    <col min="8981" max="8983" width="4.7109375" style="1" customWidth="1"/>
    <col min="8984" max="8984" width="11.7109375" style="1" customWidth="1"/>
    <col min="8985" max="8986" width="7" style="1" customWidth="1"/>
    <col min="8987" max="8987" width="6.42578125" style="1" customWidth="1"/>
    <col min="8988" max="8988" width="15" style="1" customWidth="1"/>
    <col min="8989" max="8989" width="5.28515625" style="1" customWidth="1"/>
    <col min="8990" max="8992" width="4.7109375" style="1" customWidth="1"/>
    <col min="8993" max="8993" width="11.7109375" style="1" customWidth="1"/>
    <col min="8994" max="8994" width="10" style="1" customWidth="1"/>
    <col min="8995" max="8995" width="7.42578125" style="1" customWidth="1"/>
    <col min="8996" max="8996" width="7.140625" style="1" customWidth="1"/>
    <col min="8997" max="8997" width="6.42578125" style="1" customWidth="1"/>
    <col min="8998" max="9228" width="8.7109375" style="1"/>
    <col min="9229" max="9229" width="3.7109375" style="1" customWidth="1"/>
    <col min="9230" max="9230" width="4.28515625" style="1" customWidth="1"/>
    <col min="9231" max="9231" width="11.28515625" style="1" customWidth="1"/>
    <col min="9232" max="9232" width="13.42578125" style="1" customWidth="1"/>
    <col min="9233" max="9235" width="5.42578125" style="1" customWidth="1"/>
    <col min="9236" max="9236" width="8.28515625" style="1" customWidth="1"/>
    <col min="9237" max="9239" width="4.7109375" style="1" customWidth="1"/>
    <col min="9240" max="9240" width="11.7109375" style="1" customWidth="1"/>
    <col min="9241" max="9242" width="7" style="1" customWidth="1"/>
    <col min="9243" max="9243" width="6.42578125" style="1" customWidth="1"/>
    <col min="9244" max="9244" width="15" style="1" customWidth="1"/>
    <col min="9245" max="9245" width="5.28515625" style="1" customWidth="1"/>
    <col min="9246" max="9248" width="4.7109375" style="1" customWidth="1"/>
    <col min="9249" max="9249" width="11.7109375" style="1" customWidth="1"/>
    <col min="9250" max="9250" width="10" style="1" customWidth="1"/>
    <col min="9251" max="9251" width="7.42578125" style="1" customWidth="1"/>
    <col min="9252" max="9252" width="7.140625" style="1" customWidth="1"/>
    <col min="9253" max="9253" width="6.42578125" style="1" customWidth="1"/>
    <col min="9254" max="9484" width="8.7109375" style="1"/>
    <col min="9485" max="9485" width="3.7109375" style="1" customWidth="1"/>
    <col min="9486" max="9486" width="4.28515625" style="1" customWidth="1"/>
    <col min="9487" max="9487" width="11.28515625" style="1" customWidth="1"/>
    <col min="9488" max="9488" width="13.42578125" style="1" customWidth="1"/>
    <col min="9489" max="9491" width="5.42578125" style="1" customWidth="1"/>
    <col min="9492" max="9492" width="8.28515625" style="1" customWidth="1"/>
    <col min="9493" max="9495" width="4.7109375" style="1" customWidth="1"/>
    <col min="9496" max="9496" width="11.7109375" style="1" customWidth="1"/>
    <col min="9497" max="9498" width="7" style="1" customWidth="1"/>
    <col min="9499" max="9499" width="6.42578125" style="1" customWidth="1"/>
    <col min="9500" max="9500" width="15" style="1" customWidth="1"/>
    <col min="9501" max="9501" width="5.28515625" style="1" customWidth="1"/>
    <col min="9502" max="9504" width="4.7109375" style="1" customWidth="1"/>
    <col min="9505" max="9505" width="11.7109375" style="1" customWidth="1"/>
    <col min="9506" max="9506" width="10" style="1" customWidth="1"/>
    <col min="9507" max="9507" width="7.42578125" style="1" customWidth="1"/>
    <col min="9508" max="9508" width="7.140625" style="1" customWidth="1"/>
    <col min="9509" max="9509" width="6.42578125" style="1" customWidth="1"/>
    <col min="9510" max="9740" width="8.7109375" style="1"/>
    <col min="9741" max="9741" width="3.7109375" style="1" customWidth="1"/>
    <col min="9742" max="9742" width="4.28515625" style="1" customWidth="1"/>
    <col min="9743" max="9743" width="11.28515625" style="1" customWidth="1"/>
    <col min="9744" max="9744" width="13.42578125" style="1" customWidth="1"/>
    <col min="9745" max="9747" width="5.42578125" style="1" customWidth="1"/>
    <col min="9748" max="9748" width="8.28515625" style="1" customWidth="1"/>
    <col min="9749" max="9751" width="4.7109375" style="1" customWidth="1"/>
    <col min="9752" max="9752" width="11.7109375" style="1" customWidth="1"/>
    <col min="9753" max="9754" width="7" style="1" customWidth="1"/>
    <col min="9755" max="9755" width="6.42578125" style="1" customWidth="1"/>
    <col min="9756" max="9756" width="15" style="1" customWidth="1"/>
    <col min="9757" max="9757" width="5.28515625" style="1" customWidth="1"/>
    <col min="9758" max="9760" width="4.7109375" style="1" customWidth="1"/>
    <col min="9761" max="9761" width="11.7109375" style="1" customWidth="1"/>
    <col min="9762" max="9762" width="10" style="1" customWidth="1"/>
    <col min="9763" max="9763" width="7.42578125" style="1" customWidth="1"/>
    <col min="9764" max="9764" width="7.140625" style="1" customWidth="1"/>
    <col min="9765" max="9765" width="6.42578125" style="1" customWidth="1"/>
    <col min="9766" max="9996" width="8.7109375" style="1"/>
    <col min="9997" max="9997" width="3.7109375" style="1" customWidth="1"/>
    <col min="9998" max="9998" width="4.28515625" style="1" customWidth="1"/>
    <col min="9999" max="9999" width="11.28515625" style="1" customWidth="1"/>
    <col min="10000" max="10000" width="13.42578125" style="1" customWidth="1"/>
    <col min="10001" max="10003" width="5.42578125" style="1" customWidth="1"/>
    <col min="10004" max="10004" width="8.28515625" style="1" customWidth="1"/>
    <col min="10005" max="10007" width="4.7109375" style="1" customWidth="1"/>
    <col min="10008" max="10008" width="11.7109375" style="1" customWidth="1"/>
    <col min="10009" max="10010" width="7" style="1" customWidth="1"/>
    <col min="10011" max="10011" width="6.42578125" style="1" customWidth="1"/>
    <col min="10012" max="10012" width="15" style="1" customWidth="1"/>
    <col min="10013" max="10013" width="5.28515625" style="1" customWidth="1"/>
    <col min="10014" max="10016" width="4.7109375" style="1" customWidth="1"/>
    <col min="10017" max="10017" width="11.7109375" style="1" customWidth="1"/>
    <col min="10018" max="10018" width="10" style="1" customWidth="1"/>
    <col min="10019" max="10019" width="7.42578125" style="1" customWidth="1"/>
    <col min="10020" max="10020" width="7.140625" style="1" customWidth="1"/>
    <col min="10021" max="10021" width="6.42578125" style="1" customWidth="1"/>
    <col min="10022" max="10252" width="8.7109375" style="1"/>
    <col min="10253" max="10253" width="3.7109375" style="1" customWidth="1"/>
    <col min="10254" max="10254" width="4.28515625" style="1" customWidth="1"/>
    <col min="10255" max="10255" width="11.28515625" style="1" customWidth="1"/>
    <col min="10256" max="10256" width="13.42578125" style="1" customWidth="1"/>
    <col min="10257" max="10259" width="5.42578125" style="1" customWidth="1"/>
    <col min="10260" max="10260" width="8.28515625" style="1" customWidth="1"/>
    <col min="10261" max="10263" width="4.7109375" style="1" customWidth="1"/>
    <col min="10264" max="10264" width="11.7109375" style="1" customWidth="1"/>
    <col min="10265" max="10266" width="7" style="1" customWidth="1"/>
    <col min="10267" max="10267" width="6.42578125" style="1" customWidth="1"/>
    <col min="10268" max="10268" width="15" style="1" customWidth="1"/>
    <col min="10269" max="10269" width="5.28515625" style="1" customWidth="1"/>
    <col min="10270" max="10272" width="4.7109375" style="1" customWidth="1"/>
    <col min="10273" max="10273" width="11.7109375" style="1" customWidth="1"/>
    <col min="10274" max="10274" width="10" style="1" customWidth="1"/>
    <col min="10275" max="10275" width="7.42578125" style="1" customWidth="1"/>
    <col min="10276" max="10276" width="7.140625" style="1" customWidth="1"/>
    <col min="10277" max="10277" width="6.42578125" style="1" customWidth="1"/>
    <col min="10278" max="10508" width="8.7109375" style="1"/>
    <col min="10509" max="10509" width="3.7109375" style="1" customWidth="1"/>
    <col min="10510" max="10510" width="4.28515625" style="1" customWidth="1"/>
    <col min="10511" max="10511" width="11.28515625" style="1" customWidth="1"/>
    <col min="10512" max="10512" width="13.42578125" style="1" customWidth="1"/>
    <col min="10513" max="10515" width="5.42578125" style="1" customWidth="1"/>
    <col min="10516" max="10516" width="8.28515625" style="1" customWidth="1"/>
    <col min="10517" max="10519" width="4.7109375" style="1" customWidth="1"/>
    <col min="10520" max="10520" width="11.7109375" style="1" customWidth="1"/>
    <col min="10521" max="10522" width="7" style="1" customWidth="1"/>
    <col min="10523" max="10523" width="6.42578125" style="1" customWidth="1"/>
    <col min="10524" max="10524" width="15" style="1" customWidth="1"/>
    <col min="10525" max="10525" width="5.28515625" style="1" customWidth="1"/>
    <col min="10526" max="10528" width="4.7109375" style="1" customWidth="1"/>
    <col min="10529" max="10529" width="11.7109375" style="1" customWidth="1"/>
    <col min="10530" max="10530" width="10" style="1" customWidth="1"/>
    <col min="10531" max="10531" width="7.42578125" style="1" customWidth="1"/>
    <col min="10532" max="10532" width="7.140625" style="1" customWidth="1"/>
    <col min="10533" max="10533" width="6.42578125" style="1" customWidth="1"/>
    <col min="10534" max="10764" width="8.7109375" style="1"/>
    <col min="10765" max="10765" width="3.7109375" style="1" customWidth="1"/>
    <col min="10766" max="10766" width="4.28515625" style="1" customWidth="1"/>
    <col min="10767" max="10767" width="11.28515625" style="1" customWidth="1"/>
    <col min="10768" max="10768" width="13.42578125" style="1" customWidth="1"/>
    <col min="10769" max="10771" width="5.42578125" style="1" customWidth="1"/>
    <col min="10772" max="10772" width="8.28515625" style="1" customWidth="1"/>
    <col min="10773" max="10775" width="4.7109375" style="1" customWidth="1"/>
    <col min="10776" max="10776" width="11.7109375" style="1" customWidth="1"/>
    <col min="10777" max="10778" width="7" style="1" customWidth="1"/>
    <col min="10779" max="10779" width="6.42578125" style="1" customWidth="1"/>
    <col min="10780" max="10780" width="15" style="1" customWidth="1"/>
    <col min="10781" max="10781" width="5.28515625" style="1" customWidth="1"/>
    <col min="10782" max="10784" width="4.7109375" style="1" customWidth="1"/>
    <col min="10785" max="10785" width="11.7109375" style="1" customWidth="1"/>
    <col min="10786" max="10786" width="10" style="1" customWidth="1"/>
    <col min="10787" max="10787" width="7.42578125" style="1" customWidth="1"/>
    <col min="10788" max="10788" width="7.140625" style="1" customWidth="1"/>
    <col min="10789" max="10789" width="6.42578125" style="1" customWidth="1"/>
    <col min="10790" max="11020" width="8.7109375" style="1"/>
    <col min="11021" max="11021" width="3.7109375" style="1" customWidth="1"/>
    <col min="11022" max="11022" width="4.28515625" style="1" customWidth="1"/>
    <col min="11023" max="11023" width="11.28515625" style="1" customWidth="1"/>
    <col min="11024" max="11024" width="13.42578125" style="1" customWidth="1"/>
    <col min="11025" max="11027" width="5.42578125" style="1" customWidth="1"/>
    <col min="11028" max="11028" width="8.28515625" style="1" customWidth="1"/>
    <col min="11029" max="11031" width="4.7109375" style="1" customWidth="1"/>
    <col min="11032" max="11032" width="11.7109375" style="1" customWidth="1"/>
    <col min="11033" max="11034" width="7" style="1" customWidth="1"/>
    <col min="11035" max="11035" width="6.42578125" style="1" customWidth="1"/>
    <col min="11036" max="11036" width="15" style="1" customWidth="1"/>
    <col min="11037" max="11037" width="5.28515625" style="1" customWidth="1"/>
    <col min="11038" max="11040" width="4.7109375" style="1" customWidth="1"/>
    <col min="11041" max="11041" width="11.7109375" style="1" customWidth="1"/>
    <col min="11042" max="11042" width="10" style="1" customWidth="1"/>
    <col min="11043" max="11043" width="7.42578125" style="1" customWidth="1"/>
    <col min="11044" max="11044" width="7.140625" style="1" customWidth="1"/>
    <col min="11045" max="11045" width="6.42578125" style="1" customWidth="1"/>
    <col min="11046" max="11276" width="8.7109375" style="1"/>
    <col min="11277" max="11277" width="3.7109375" style="1" customWidth="1"/>
    <col min="11278" max="11278" width="4.28515625" style="1" customWidth="1"/>
    <col min="11279" max="11279" width="11.28515625" style="1" customWidth="1"/>
    <col min="11280" max="11280" width="13.42578125" style="1" customWidth="1"/>
    <col min="11281" max="11283" width="5.42578125" style="1" customWidth="1"/>
    <col min="11284" max="11284" width="8.28515625" style="1" customWidth="1"/>
    <col min="11285" max="11287" width="4.7109375" style="1" customWidth="1"/>
    <col min="11288" max="11288" width="11.7109375" style="1" customWidth="1"/>
    <col min="11289" max="11290" width="7" style="1" customWidth="1"/>
    <col min="11291" max="11291" width="6.42578125" style="1" customWidth="1"/>
    <col min="11292" max="11292" width="15" style="1" customWidth="1"/>
    <col min="11293" max="11293" width="5.28515625" style="1" customWidth="1"/>
    <col min="11294" max="11296" width="4.7109375" style="1" customWidth="1"/>
    <col min="11297" max="11297" width="11.7109375" style="1" customWidth="1"/>
    <col min="11298" max="11298" width="10" style="1" customWidth="1"/>
    <col min="11299" max="11299" width="7.42578125" style="1" customWidth="1"/>
    <col min="11300" max="11300" width="7.140625" style="1" customWidth="1"/>
    <col min="11301" max="11301" width="6.42578125" style="1" customWidth="1"/>
    <col min="11302" max="11532" width="8.7109375" style="1"/>
    <col min="11533" max="11533" width="3.7109375" style="1" customWidth="1"/>
    <col min="11534" max="11534" width="4.28515625" style="1" customWidth="1"/>
    <col min="11535" max="11535" width="11.28515625" style="1" customWidth="1"/>
    <col min="11536" max="11536" width="13.42578125" style="1" customWidth="1"/>
    <col min="11537" max="11539" width="5.42578125" style="1" customWidth="1"/>
    <col min="11540" max="11540" width="8.28515625" style="1" customWidth="1"/>
    <col min="11541" max="11543" width="4.7109375" style="1" customWidth="1"/>
    <col min="11544" max="11544" width="11.7109375" style="1" customWidth="1"/>
    <col min="11545" max="11546" width="7" style="1" customWidth="1"/>
    <col min="11547" max="11547" width="6.42578125" style="1" customWidth="1"/>
    <col min="11548" max="11548" width="15" style="1" customWidth="1"/>
    <col min="11549" max="11549" width="5.28515625" style="1" customWidth="1"/>
    <col min="11550" max="11552" width="4.7109375" style="1" customWidth="1"/>
    <col min="11553" max="11553" width="11.7109375" style="1" customWidth="1"/>
    <col min="11554" max="11554" width="10" style="1" customWidth="1"/>
    <col min="11555" max="11555" width="7.42578125" style="1" customWidth="1"/>
    <col min="11556" max="11556" width="7.140625" style="1" customWidth="1"/>
    <col min="11557" max="11557" width="6.42578125" style="1" customWidth="1"/>
    <col min="11558" max="11788" width="8.7109375" style="1"/>
    <col min="11789" max="11789" width="3.7109375" style="1" customWidth="1"/>
    <col min="11790" max="11790" width="4.28515625" style="1" customWidth="1"/>
    <col min="11791" max="11791" width="11.28515625" style="1" customWidth="1"/>
    <col min="11792" max="11792" width="13.42578125" style="1" customWidth="1"/>
    <col min="11793" max="11795" width="5.42578125" style="1" customWidth="1"/>
    <col min="11796" max="11796" width="8.28515625" style="1" customWidth="1"/>
    <col min="11797" max="11799" width="4.7109375" style="1" customWidth="1"/>
    <col min="11800" max="11800" width="11.7109375" style="1" customWidth="1"/>
    <col min="11801" max="11802" width="7" style="1" customWidth="1"/>
    <col min="11803" max="11803" width="6.42578125" style="1" customWidth="1"/>
    <col min="11804" max="11804" width="15" style="1" customWidth="1"/>
    <col min="11805" max="11805" width="5.28515625" style="1" customWidth="1"/>
    <col min="11806" max="11808" width="4.7109375" style="1" customWidth="1"/>
    <col min="11809" max="11809" width="11.7109375" style="1" customWidth="1"/>
    <col min="11810" max="11810" width="10" style="1" customWidth="1"/>
    <col min="11811" max="11811" width="7.42578125" style="1" customWidth="1"/>
    <col min="11812" max="11812" width="7.140625" style="1" customWidth="1"/>
    <col min="11813" max="11813" width="6.42578125" style="1" customWidth="1"/>
    <col min="11814" max="12044" width="8.7109375" style="1"/>
    <col min="12045" max="12045" width="3.7109375" style="1" customWidth="1"/>
    <col min="12046" max="12046" width="4.28515625" style="1" customWidth="1"/>
    <col min="12047" max="12047" width="11.28515625" style="1" customWidth="1"/>
    <col min="12048" max="12048" width="13.42578125" style="1" customWidth="1"/>
    <col min="12049" max="12051" width="5.42578125" style="1" customWidth="1"/>
    <col min="12052" max="12052" width="8.28515625" style="1" customWidth="1"/>
    <col min="12053" max="12055" width="4.7109375" style="1" customWidth="1"/>
    <col min="12056" max="12056" width="11.7109375" style="1" customWidth="1"/>
    <col min="12057" max="12058" width="7" style="1" customWidth="1"/>
    <col min="12059" max="12059" width="6.42578125" style="1" customWidth="1"/>
    <col min="12060" max="12060" width="15" style="1" customWidth="1"/>
    <col min="12061" max="12061" width="5.28515625" style="1" customWidth="1"/>
    <col min="12062" max="12064" width="4.7109375" style="1" customWidth="1"/>
    <col min="12065" max="12065" width="11.7109375" style="1" customWidth="1"/>
    <col min="12066" max="12066" width="10" style="1" customWidth="1"/>
    <col min="12067" max="12067" width="7.42578125" style="1" customWidth="1"/>
    <col min="12068" max="12068" width="7.140625" style="1" customWidth="1"/>
    <col min="12069" max="12069" width="6.42578125" style="1" customWidth="1"/>
    <col min="12070" max="12300" width="8.7109375" style="1"/>
    <col min="12301" max="12301" width="3.7109375" style="1" customWidth="1"/>
    <col min="12302" max="12302" width="4.28515625" style="1" customWidth="1"/>
    <col min="12303" max="12303" width="11.28515625" style="1" customWidth="1"/>
    <col min="12304" max="12304" width="13.42578125" style="1" customWidth="1"/>
    <col min="12305" max="12307" width="5.42578125" style="1" customWidth="1"/>
    <col min="12308" max="12308" width="8.28515625" style="1" customWidth="1"/>
    <col min="12309" max="12311" width="4.7109375" style="1" customWidth="1"/>
    <col min="12312" max="12312" width="11.7109375" style="1" customWidth="1"/>
    <col min="12313" max="12314" width="7" style="1" customWidth="1"/>
    <col min="12315" max="12315" width="6.42578125" style="1" customWidth="1"/>
    <col min="12316" max="12316" width="15" style="1" customWidth="1"/>
    <col min="12317" max="12317" width="5.28515625" style="1" customWidth="1"/>
    <col min="12318" max="12320" width="4.7109375" style="1" customWidth="1"/>
    <col min="12321" max="12321" width="11.7109375" style="1" customWidth="1"/>
    <col min="12322" max="12322" width="10" style="1" customWidth="1"/>
    <col min="12323" max="12323" width="7.42578125" style="1" customWidth="1"/>
    <col min="12324" max="12324" width="7.140625" style="1" customWidth="1"/>
    <col min="12325" max="12325" width="6.42578125" style="1" customWidth="1"/>
    <col min="12326" max="12556" width="8.7109375" style="1"/>
    <col min="12557" max="12557" width="3.7109375" style="1" customWidth="1"/>
    <col min="12558" max="12558" width="4.28515625" style="1" customWidth="1"/>
    <col min="12559" max="12559" width="11.28515625" style="1" customWidth="1"/>
    <col min="12560" max="12560" width="13.42578125" style="1" customWidth="1"/>
    <col min="12561" max="12563" width="5.42578125" style="1" customWidth="1"/>
    <col min="12564" max="12564" width="8.28515625" style="1" customWidth="1"/>
    <col min="12565" max="12567" width="4.7109375" style="1" customWidth="1"/>
    <col min="12568" max="12568" width="11.7109375" style="1" customWidth="1"/>
    <col min="12569" max="12570" width="7" style="1" customWidth="1"/>
    <col min="12571" max="12571" width="6.42578125" style="1" customWidth="1"/>
    <col min="12572" max="12572" width="15" style="1" customWidth="1"/>
    <col min="12573" max="12573" width="5.28515625" style="1" customWidth="1"/>
    <col min="12574" max="12576" width="4.7109375" style="1" customWidth="1"/>
    <col min="12577" max="12577" width="11.7109375" style="1" customWidth="1"/>
    <col min="12578" max="12578" width="10" style="1" customWidth="1"/>
    <col min="12579" max="12579" width="7.42578125" style="1" customWidth="1"/>
    <col min="12580" max="12580" width="7.140625" style="1" customWidth="1"/>
    <col min="12581" max="12581" width="6.42578125" style="1" customWidth="1"/>
    <col min="12582" max="12812" width="8.7109375" style="1"/>
    <col min="12813" max="12813" width="3.7109375" style="1" customWidth="1"/>
    <col min="12814" max="12814" width="4.28515625" style="1" customWidth="1"/>
    <col min="12815" max="12815" width="11.28515625" style="1" customWidth="1"/>
    <col min="12816" max="12816" width="13.42578125" style="1" customWidth="1"/>
    <col min="12817" max="12819" width="5.42578125" style="1" customWidth="1"/>
    <col min="12820" max="12820" width="8.28515625" style="1" customWidth="1"/>
    <col min="12821" max="12823" width="4.7109375" style="1" customWidth="1"/>
    <col min="12824" max="12824" width="11.7109375" style="1" customWidth="1"/>
    <col min="12825" max="12826" width="7" style="1" customWidth="1"/>
    <col min="12827" max="12827" width="6.42578125" style="1" customWidth="1"/>
    <col min="12828" max="12828" width="15" style="1" customWidth="1"/>
    <col min="12829" max="12829" width="5.28515625" style="1" customWidth="1"/>
    <col min="12830" max="12832" width="4.7109375" style="1" customWidth="1"/>
    <col min="12833" max="12833" width="11.7109375" style="1" customWidth="1"/>
    <col min="12834" max="12834" width="10" style="1" customWidth="1"/>
    <col min="12835" max="12835" width="7.42578125" style="1" customWidth="1"/>
    <col min="12836" max="12836" width="7.140625" style="1" customWidth="1"/>
    <col min="12837" max="12837" width="6.42578125" style="1" customWidth="1"/>
    <col min="12838" max="13068" width="8.7109375" style="1"/>
    <col min="13069" max="13069" width="3.7109375" style="1" customWidth="1"/>
    <col min="13070" max="13070" width="4.28515625" style="1" customWidth="1"/>
    <col min="13071" max="13071" width="11.28515625" style="1" customWidth="1"/>
    <col min="13072" max="13072" width="13.42578125" style="1" customWidth="1"/>
    <col min="13073" max="13075" width="5.42578125" style="1" customWidth="1"/>
    <col min="13076" max="13076" width="8.28515625" style="1" customWidth="1"/>
    <col min="13077" max="13079" width="4.7109375" style="1" customWidth="1"/>
    <col min="13080" max="13080" width="11.7109375" style="1" customWidth="1"/>
    <col min="13081" max="13082" width="7" style="1" customWidth="1"/>
    <col min="13083" max="13083" width="6.42578125" style="1" customWidth="1"/>
    <col min="13084" max="13084" width="15" style="1" customWidth="1"/>
    <col min="13085" max="13085" width="5.28515625" style="1" customWidth="1"/>
    <col min="13086" max="13088" width="4.7109375" style="1" customWidth="1"/>
    <col min="13089" max="13089" width="11.7109375" style="1" customWidth="1"/>
    <col min="13090" max="13090" width="10" style="1" customWidth="1"/>
    <col min="13091" max="13091" width="7.42578125" style="1" customWidth="1"/>
    <col min="13092" max="13092" width="7.140625" style="1" customWidth="1"/>
    <col min="13093" max="13093" width="6.42578125" style="1" customWidth="1"/>
    <col min="13094" max="13324" width="8.7109375" style="1"/>
    <col min="13325" max="13325" width="3.7109375" style="1" customWidth="1"/>
    <col min="13326" max="13326" width="4.28515625" style="1" customWidth="1"/>
    <col min="13327" max="13327" width="11.28515625" style="1" customWidth="1"/>
    <col min="13328" max="13328" width="13.42578125" style="1" customWidth="1"/>
    <col min="13329" max="13331" width="5.42578125" style="1" customWidth="1"/>
    <col min="13332" max="13332" width="8.28515625" style="1" customWidth="1"/>
    <col min="13333" max="13335" width="4.7109375" style="1" customWidth="1"/>
    <col min="13336" max="13336" width="11.7109375" style="1" customWidth="1"/>
    <col min="13337" max="13338" width="7" style="1" customWidth="1"/>
    <col min="13339" max="13339" width="6.42578125" style="1" customWidth="1"/>
    <col min="13340" max="13340" width="15" style="1" customWidth="1"/>
    <col min="13341" max="13341" width="5.28515625" style="1" customWidth="1"/>
    <col min="13342" max="13344" width="4.7109375" style="1" customWidth="1"/>
    <col min="13345" max="13345" width="11.7109375" style="1" customWidth="1"/>
    <col min="13346" max="13346" width="10" style="1" customWidth="1"/>
    <col min="13347" max="13347" width="7.42578125" style="1" customWidth="1"/>
    <col min="13348" max="13348" width="7.140625" style="1" customWidth="1"/>
    <col min="13349" max="13349" width="6.42578125" style="1" customWidth="1"/>
    <col min="13350" max="13580" width="8.7109375" style="1"/>
    <col min="13581" max="13581" width="3.7109375" style="1" customWidth="1"/>
    <col min="13582" max="13582" width="4.28515625" style="1" customWidth="1"/>
    <col min="13583" max="13583" width="11.28515625" style="1" customWidth="1"/>
    <col min="13584" max="13584" width="13.42578125" style="1" customWidth="1"/>
    <col min="13585" max="13587" width="5.42578125" style="1" customWidth="1"/>
    <col min="13588" max="13588" width="8.28515625" style="1" customWidth="1"/>
    <col min="13589" max="13591" width="4.7109375" style="1" customWidth="1"/>
    <col min="13592" max="13592" width="11.7109375" style="1" customWidth="1"/>
    <col min="13593" max="13594" width="7" style="1" customWidth="1"/>
    <col min="13595" max="13595" width="6.42578125" style="1" customWidth="1"/>
    <col min="13596" max="13596" width="15" style="1" customWidth="1"/>
    <col min="13597" max="13597" width="5.28515625" style="1" customWidth="1"/>
    <col min="13598" max="13600" width="4.7109375" style="1" customWidth="1"/>
    <col min="13601" max="13601" width="11.7109375" style="1" customWidth="1"/>
    <col min="13602" max="13602" width="10" style="1" customWidth="1"/>
    <col min="13603" max="13603" width="7.42578125" style="1" customWidth="1"/>
    <col min="13604" max="13604" width="7.140625" style="1" customWidth="1"/>
    <col min="13605" max="13605" width="6.42578125" style="1" customWidth="1"/>
    <col min="13606" max="13836" width="8.7109375" style="1"/>
    <col min="13837" max="13837" width="3.7109375" style="1" customWidth="1"/>
    <col min="13838" max="13838" width="4.28515625" style="1" customWidth="1"/>
    <col min="13839" max="13839" width="11.28515625" style="1" customWidth="1"/>
    <col min="13840" max="13840" width="13.42578125" style="1" customWidth="1"/>
    <col min="13841" max="13843" width="5.42578125" style="1" customWidth="1"/>
    <col min="13844" max="13844" width="8.28515625" style="1" customWidth="1"/>
    <col min="13845" max="13847" width="4.7109375" style="1" customWidth="1"/>
    <col min="13848" max="13848" width="11.7109375" style="1" customWidth="1"/>
    <col min="13849" max="13850" width="7" style="1" customWidth="1"/>
    <col min="13851" max="13851" width="6.42578125" style="1" customWidth="1"/>
    <col min="13852" max="13852" width="15" style="1" customWidth="1"/>
    <col min="13853" max="13853" width="5.28515625" style="1" customWidth="1"/>
    <col min="13854" max="13856" width="4.7109375" style="1" customWidth="1"/>
    <col min="13857" max="13857" width="11.7109375" style="1" customWidth="1"/>
    <col min="13858" max="13858" width="10" style="1" customWidth="1"/>
    <col min="13859" max="13859" width="7.42578125" style="1" customWidth="1"/>
    <col min="13860" max="13860" width="7.140625" style="1" customWidth="1"/>
    <col min="13861" max="13861" width="6.42578125" style="1" customWidth="1"/>
    <col min="13862" max="14092" width="8.7109375" style="1"/>
    <col min="14093" max="14093" width="3.7109375" style="1" customWidth="1"/>
    <col min="14094" max="14094" width="4.28515625" style="1" customWidth="1"/>
    <col min="14095" max="14095" width="11.28515625" style="1" customWidth="1"/>
    <col min="14096" max="14096" width="13.42578125" style="1" customWidth="1"/>
    <col min="14097" max="14099" width="5.42578125" style="1" customWidth="1"/>
    <col min="14100" max="14100" width="8.28515625" style="1" customWidth="1"/>
    <col min="14101" max="14103" width="4.7109375" style="1" customWidth="1"/>
    <col min="14104" max="14104" width="11.7109375" style="1" customWidth="1"/>
    <col min="14105" max="14106" width="7" style="1" customWidth="1"/>
    <col min="14107" max="14107" width="6.42578125" style="1" customWidth="1"/>
    <col min="14108" max="14108" width="15" style="1" customWidth="1"/>
    <col min="14109" max="14109" width="5.28515625" style="1" customWidth="1"/>
    <col min="14110" max="14112" width="4.7109375" style="1" customWidth="1"/>
    <col min="14113" max="14113" width="11.7109375" style="1" customWidth="1"/>
    <col min="14114" max="14114" width="10" style="1" customWidth="1"/>
    <col min="14115" max="14115" width="7.42578125" style="1" customWidth="1"/>
    <col min="14116" max="14116" width="7.140625" style="1" customWidth="1"/>
    <col min="14117" max="14117" width="6.42578125" style="1" customWidth="1"/>
    <col min="14118" max="14348" width="8.7109375" style="1"/>
    <col min="14349" max="14349" width="3.7109375" style="1" customWidth="1"/>
    <col min="14350" max="14350" width="4.28515625" style="1" customWidth="1"/>
    <col min="14351" max="14351" width="11.28515625" style="1" customWidth="1"/>
    <col min="14352" max="14352" width="13.42578125" style="1" customWidth="1"/>
    <col min="14353" max="14355" width="5.42578125" style="1" customWidth="1"/>
    <col min="14356" max="14356" width="8.28515625" style="1" customWidth="1"/>
    <col min="14357" max="14359" width="4.7109375" style="1" customWidth="1"/>
    <col min="14360" max="14360" width="11.7109375" style="1" customWidth="1"/>
    <col min="14361" max="14362" width="7" style="1" customWidth="1"/>
    <col min="14363" max="14363" width="6.42578125" style="1" customWidth="1"/>
    <col min="14364" max="14364" width="15" style="1" customWidth="1"/>
    <col min="14365" max="14365" width="5.28515625" style="1" customWidth="1"/>
    <col min="14366" max="14368" width="4.7109375" style="1" customWidth="1"/>
    <col min="14369" max="14369" width="11.7109375" style="1" customWidth="1"/>
    <col min="14370" max="14370" width="10" style="1" customWidth="1"/>
    <col min="14371" max="14371" width="7.42578125" style="1" customWidth="1"/>
    <col min="14372" max="14372" width="7.140625" style="1" customWidth="1"/>
    <col min="14373" max="14373" width="6.42578125" style="1" customWidth="1"/>
    <col min="14374" max="14604" width="8.7109375" style="1"/>
    <col min="14605" max="14605" width="3.7109375" style="1" customWidth="1"/>
    <col min="14606" max="14606" width="4.28515625" style="1" customWidth="1"/>
    <col min="14607" max="14607" width="11.28515625" style="1" customWidth="1"/>
    <col min="14608" max="14608" width="13.42578125" style="1" customWidth="1"/>
    <col min="14609" max="14611" width="5.42578125" style="1" customWidth="1"/>
    <col min="14612" max="14612" width="8.28515625" style="1" customWidth="1"/>
    <col min="14613" max="14615" width="4.7109375" style="1" customWidth="1"/>
    <col min="14616" max="14616" width="11.7109375" style="1" customWidth="1"/>
    <col min="14617" max="14618" width="7" style="1" customWidth="1"/>
    <col min="14619" max="14619" width="6.42578125" style="1" customWidth="1"/>
    <col min="14620" max="14620" width="15" style="1" customWidth="1"/>
    <col min="14621" max="14621" width="5.28515625" style="1" customWidth="1"/>
    <col min="14622" max="14624" width="4.7109375" style="1" customWidth="1"/>
    <col min="14625" max="14625" width="11.7109375" style="1" customWidth="1"/>
    <col min="14626" max="14626" width="10" style="1" customWidth="1"/>
    <col min="14627" max="14627" width="7.42578125" style="1" customWidth="1"/>
    <col min="14628" max="14628" width="7.140625" style="1" customWidth="1"/>
    <col min="14629" max="14629" width="6.42578125" style="1" customWidth="1"/>
    <col min="14630" max="14860" width="8.7109375" style="1"/>
    <col min="14861" max="14861" width="3.7109375" style="1" customWidth="1"/>
    <col min="14862" max="14862" width="4.28515625" style="1" customWidth="1"/>
    <col min="14863" max="14863" width="11.28515625" style="1" customWidth="1"/>
    <col min="14864" max="14864" width="13.42578125" style="1" customWidth="1"/>
    <col min="14865" max="14867" width="5.42578125" style="1" customWidth="1"/>
    <col min="14868" max="14868" width="8.28515625" style="1" customWidth="1"/>
    <col min="14869" max="14871" width="4.7109375" style="1" customWidth="1"/>
    <col min="14872" max="14872" width="11.7109375" style="1" customWidth="1"/>
    <col min="14873" max="14874" width="7" style="1" customWidth="1"/>
    <col min="14875" max="14875" width="6.42578125" style="1" customWidth="1"/>
    <col min="14876" max="14876" width="15" style="1" customWidth="1"/>
    <col min="14877" max="14877" width="5.28515625" style="1" customWidth="1"/>
    <col min="14878" max="14880" width="4.7109375" style="1" customWidth="1"/>
    <col min="14881" max="14881" width="11.7109375" style="1" customWidth="1"/>
    <col min="14882" max="14882" width="10" style="1" customWidth="1"/>
    <col min="14883" max="14883" width="7.42578125" style="1" customWidth="1"/>
    <col min="14884" max="14884" width="7.140625" style="1" customWidth="1"/>
    <col min="14885" max="14885" width="6.42578125" style="1" customWidth="1"/>
    <col min="14886" max="15116" width="8.7109375" style="1"/>
    <col min="15117" max="15117" width="3.7109375" style="1" customWidth="1"/>
    <col min="15118" max="15118" width="4.28515625" style="1" customWidth="1"/>
    <col min="15119" max="15119" width="11.28515625" style="1" customWidth="1"/>
    <col min="15120" max="15120" width="13.42578125" style="1" customWidth="1"/>
    <col min="15121" max="15123" width="5.42578125" style="1" customWidth="1"/>
    <col min="15124" max="15124" width="8.28515625" style="1" customWidth="1"/>
    <col min="15125" max="15127" width="4.7109375" style="1" customWidth="1"/>
    <col min="15128" max="15128" width="11.7109375" style="1" customWidth="1"/>
    <col min="15129" max="15130" width="7" style="1" customWidth="1"/>
    <col min="15131" max="15131" width="6.42578125" style="1" customWidth="1"/>
    <col min="15132" max="15132" width="15" style="1" customWidth="1"/>
    <col min="15133" max="15133" width="5.28515625" style="1" customWidth="1"/>
    <col min="15134" max="15136" width="4.7109375" style="1" customWidth="1"/>
    <col min="15137" max="15137" width="11.7109375" style="1" customWidth="1"/>
    <col min="15138" max="15138" width="10" style="1" customWidth="1"/>
    <col min="15139" max="15139" width="7.42578125" style="1" customWidth="1"/>
    <col min="15140" max="15140" width="7.140625" style="1" customWidth="1"/>
    <col min="15141" max="15141" width="6.42578125" style="1" customWidth="1"/>
    <col min="15142" max="15372" width="8.7109375" style="1"/>
    <col min="15373" max="15373" width="3.7109375" style="1" customWidth="1"/>
    <col min="15374" max="15374" width="4.28515625" style="1" customWidth="1"/>
    <col min="15375" max="15375" width="11.28515625" style="1" customWidth="1"/>
    <col min="15376" max="15376" width="13.42578125" style="1" customWidth="1"/>
    <col min="15377" max="15379" width="5.42578125" style="1" customWidth="1"/>
    <col min="15380" max="15380" width="8.28515625" style="1" customWidth="1"/>
    <col min="15381" max="15383" width="4.7109375" style="1" customWidth="1"/>
    <col min="15384" max="15384" width="11.7109375" style="1" customWidth="1"/>
    <col min="15385" max="15386" width="7" style="1" customWidth="1"/>
    <col min="15387" max="15387" width="6.42578125" style="1" customWidth="1"/>
    <col min="15388" max="15388" width="15" style="1" customWidth="1"/>
    <col min="15389" max="15389" width="5.28515625" style="1" customWidth="1"/>
    <col min="15390" max="15392" width="4.7109375" style="1" customWidth="1"/>
    <col min="15393" max="15393" width="11.7109375" style="1" customWidth="1"/>
    <col min="15394" max="15394" width="10" style="1" customWidth="1"/>
    <col min="15395" max="15395" width="7.42578125" style="1" customWidth="1"/>
    <col min="15396" max="15396" width="7.140625" style="1" customWidth="1"/>
    <col min="15397" max="15397" width="6.42578125" style="1" customWidth="1"/>
    <col min="15398" max="15628" width="8.7109375" style="1"/>
    <col min="15629" max="15629" width="3.7109375" style="1" customWidth="1"/>
    <col min="15630" max="15630" width="4.28515625" style="1" customWidth="1"/>
    <col min="15631" max="15631" width="11.28515625" style="1" customWidth="1"/>
    <col min="15632" max="15632" width="13.42578125" style="1" customWidth="1"/>
    <col min="15633" max="15635" width="5.42578125" style="1" customWidth="1"/>
    <col min="15636" max="15636" width="8.28515625" style="1" customWidth="1"/>
    <col min="15637" max="15639" width="4.7109375" style="1" customWidth="1"/>
    <col min="15640" max="15640" width="11.7109375" style="1" customWidth="1"/>
    <col min="15641" max="15642" width="7" style="1" customWidth="1"/>
    <col min="15643" max="15643" width="6.42578125" style="1" customWidth="1"/>
    <col min="15644" max="15644" width="15" style="1" customWidth="1"/>
    <col min="15645" max="15645" width="5.28515625" style="1" customWidth="1"/>
    <col min="15646" max="15648" width="4.7109375" style="1" customWidth="1"/>
    <col min="15649" max="15649" width="11.7109375" style="1" customWidth="1"/>
    <col min="15650" max="15650" width="10" style="1" customWidth="1"/>
    <col min="15651" max="15651" width="7.42578125" style="1" customWidth="1"/>
    <col min="15652" max="15652" width="7.140625" style="1" customWidth="1"/>
    <col min="15653" max="15653" width="6.42578125" style="1" customWidth="1"/>
    <col min="15654" max="15884" width="8.7109375" style="1"/>
    <col min="15885" max="15885" width="3.7109375" style="1" customWidth="1"/>
    <col min="15886" max="15886" width="4.28515625" style="1" customWidth="1"/>
    <col min="15887" max="15887" width="11.28515625" style="1" customWidth="1"/>
    <col min="15888" max="15888" width="13.42578125" style="1" customWidth="1"/>
    <col min="15889" max="15891" width="5.42578125" style="1" customWidth="1"/>
    <col min="15892" max="15892" width="8.28515625" style="1" customWidth="1"/>
    <col min="15893" max="15895" width="4.7109375" style="1" customWidth="1"/>
    <col min="15896" max="15896" width="11.7109375" style="1" customWidth="1"/>
    <col min="15897" max="15898" width="7" style="1" customWidth="1"/>
    <col min="15899" max="15899" width="6.42578125" style="1" customWidth="1"/>
    <col min="15900" max="15900" width="15" style="1" customWidth="1"/>
    <col min="15901" max="15901" width="5.28515625" style="1" customWidth="1"/>
    <col min="15902" max="15904" width="4.7109375" style="1" customWidth="1"/>
    <col min="15905" max="15905" width="11.7109375" style="1" customWidth="1"/>
    <col min="15906" max="15906" width="10" style="1" customWidth="1"/>
    <col min="15907" max="15907" width="7.42578125" style="1" customWidth="1"/>
    <col min="15908" max="15908" width="7.140625" style="1" customWidth="1"/>
    <col min="15909" max="15909" width="6.42578125" style="1" customWidth="1"/>
    <col min="15910" max="16140" width="8.7109375" style="1"/>
    <col min="16141" max="16141" width="3.7109375" style="1" customWidth="1"/>
    <col min="16142" max="16142" width="4.28515625" style="1" customWidth="1"/>
    <col min="16143" max="16143" width="11.28515625" style="1" customWidth="1"/>
    <col min="16144" max="16144" width="13.42578125" style="1" customWidth="1"/>
    <col min="16145" max="16147" width="5.42578125" style="1" customWidth="1"/>
    <col min="16148" max="16148" width="8.28515625" style="1" customWidth="1"/>
    <col min="16149" max="16151" width="4.7109375" style="1" customWidth="1"/>
    <col min="16152" max="16152" width="11.7109375" style="1" customWidth="1"/>
    <col min="16153" max="16154" width="7" style="1" customWidth="1"/>
    <col min="16155" max="16155" width="6.42578125" style="1" customWidth="1"/>
    <col min="16156" max="16156" width="15" style="1" customWidth="1"/>
    <col min="16157" max="16157" width="5.28515625" style="1" customWidth="1"/>
    <col min="16158" max="16160" width="4.7109375" style="1" customWidth="1"/>
    <col min="16161" max="16161" width="11.7109375" style="1" customWidth="1"/>
    <col min="16162" max="16162" width="10" style="1" customWidth="1"/>
    <col min="16163" max="16163" width="7.42578125" style="1" customWidth="1"/>
    <col min="16164" max="16164" width="7.140625" style="1" customWidth="1"/>
    <col min="16165" max="16165" width="6.42578125" style="1" customWidth="1"/>
    <col min="16166" max="16384" width="8.7109375" style="1"/>
  </cols>
  <sheetData>
    <row r="1" spans="2:39" x14ac:dyDescent="0.25">
      <c r="B1" s="1" t="s">
        <v>0</v>
      </c>
      <c r="F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K1" s="2" t="s">
        <v>1</v>
      </c>
    </row>
    <row r="2" spans="2:39" ht="15" customHeight="1" x14ac:dyDescent="0.25">
      <c r="B2" s="1" t="s">
        <v>42</v>
      </c>
      <c r="F2" s="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K2" s="1" t="s">
        <v>2</v>
      </c>
    </row>
    <row r="3" spans="2:39" ht="15" customHeight="1" x14ac:dyDescent="0.25">
      <c r="B3" s="1" t="s">
        <v>95</v>
      </c>
      <c r="F3" s="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K3" s="4" t="s">
        <v>3</v>
      </c>
    </row>
    <row r="4" spans="2:39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spans="2:39" ht="17.25" customHeight="1" x14ac:dyDescent="0.25">
      <c r="B5" s="44" t="s">
        <v>104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2:39" ht="17.25" customHeight="1" x14ac:dyDescent="0.25">
      <c r="B6" s="6"/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2:39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2:39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2:39" ht="39.7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  <c r="V9" s="64" t="s">
        <v>12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  <c r="AL9" s="9" t="s">
        <v>13</v>
      </c>
      <c r="AM9" s="46" t="s">
        <v>14</v>
      </c>
    </row>
    <row r="10" spans="2:39" s="11" customFormat="1" ht="23.25" customHeight="1" x14ac:dyDescent="0.25">
      <c r="B10" s="60"/>
      <c r="C10" s="60"/>
      <c r="D10" s="60"/>
      <c r="E10" s="60"/>
      <c r="F10" s="49" t="s">
        <v>15</v>
      </c>
      <c r="G10" s="67" t="s">
        <v>15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 t="s">
        <v>15</v>
      </c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49" t="s">
        <v>16</v>
      </c>
      <c r="AM10" s="47"/>
    </row>
    <row r="11" spans="2:39" s="12" customFormat="1" ht="73.150000000000006" customHeight="1" x14ac:dyDescent="0.25">
      <c r="B11" s="60"/>
      <c r="C11" s="60"/>
      <c r="D11" s="60"/>
      <c r="E11" s="60"/>
      <c r="F11" s="50"/>
      <c r="G11" s="10" t="s">
        <v>69</v>
      </c>
      <c r="H11" s="10" t="s">
        <v>70</v>
      </c>
      <c r="I11" s="10" t="s">
        <v>71</v>
      </c>
      <c r="J11" s="10" t="s">
        <v>73</v>
      </c>
      <c r="K11" s="10" t="s">
        <v>75</v>
      </c>
      <c r="L11" s="10" t="s">
        <v>77</v>
      </c>
      <c r="M11" s="10" t="s">
        <v>78</v>
      </c>
      <c r="N11" s="10" t="s">
        <v>79</v>
      </c>
      <c r="O11" s="10" t="s">
        <v>81</v>
      </c>
      <c r="P11" s="10" t="s">
        <v>82</v>
      </c>
      <c r="Q11" s="10" t="s">
        <v>84</v>
      </c>
      <c r="R11" s="10" t="s">
        <v>85</v>
      </c>
      <c r="S11" s="10" t="s">
        <v>86</v>
      </c>
      <c r="T11" s="10" t="s">
        <v>88</v>
      </c>
      <c r="U11" s="10" t="s">
        <v>17</v>
      </c>
      <c r="V11" s="10" t="s">
        <v>69</v>
      </c>
      <c r="W11" s="10" t="s">
        <v>72</v>
      </c>
      <c r="X11" s="10" t="s">
        <v>73</v>
      </c>
      <c r="Y11" s="10" t="s">
        <v>74</v>
      </c>
      <c r="Z11" s="10" t="s">
        <v>76</v>
      </c>
      <c r="AA11" s="10" t="s">
        <v>77</v>
      </c>
      <c r="AB11" s="10" t="s">
        <v>79</v>
      </c>
      <c r="AC11" s="10" t="s">
        <v>80</v>
      </c>
      <c r="AD11" s="10" t="s">
        <v>81</v>
      </c>
      <c r="AE11" s="10" t="s">
        <v>83</v>
      </c>
      <c r="AF11" s="10" t="s">
        <v>85</v>
      </c>
      <c r="AG11" s="10" t="s">
        <v>86</v>
      </c>
      <c r="AH11" s="10" t="s">
        <v>87</v>
      </c>
      <c r="AI11" s="10" t="s">
        <v>88</v>
      </c>
      <c r="AJ11" s="10" t="s">
        <v>91</v>
      </c>
      <c r="AK11" s="8" t="s">
        <v>18</v>
      </c>
      <c r="AL11" s="50"/>
      <c r="AM11" s="48"/>
    </row>
    <row r="12" spans="2:39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52</v>
      </c>
      <c r="P12" s="14" t="s">
        <v>53</v>
      </c>
      <c r="Q12" s="14" t="s">
        <v>54</v>
      </c>
      <c r="R12" s="14" t="s">
        <v>55</v>
      </c>
      <c r="S12" s="14" t="s">
        <v>89</v>
      </c>
      <c r="T12" s="14" t="s">
        <v>90</v>
      </c>
      <c r="U12" s="14" t="s">
        <v>26</v>
      </c>
      <c r="V12" s="14" t="s">
        <v>27</v>
      </c>
      <c r="W12" s="14" t="s">
        <v>28</v>
      </c>
      <c r="X12" s="14" t="s">
        <v>56</v>
      </c>
      <c r="Y12" s="14" t="s">
        <v>57</v>
      </c>
      <c r="Z12" s="14" t="s">
        <v>58</v>
      </c>
      <c r="AA12" s="14" t="s">
        <v>59</v>
      </c>
      <c r="AB12" s="14" t="s">
        <v>60</v>
      </c>
      <c r="AC12" s="14" t="s">
        <v>61</v>
      </c>
      <c r="AD12" s="14" t="s">
        <v>62</v>
      </c>
      <c r="AE12" s="14" t="s">
        <v>63</v>
      </c>
      <c r="AF12" s="14" t="s">
        <v>64</v>
      </c>
      <c r="AG12" s="14" t="s">
        <v>65</v>
      </c>
      <c r="AH12" s="14" t="s">
        <v>66</v>
      </c>
      <c r="AI12" s="14" t="s">
        <v>67</v>
      </c>
      <c r="AJ12" s="26" t="s">
        <v>68</v>
      </c>
      <c r="AK12" s="14" t="s">
        <v>29</v>
      </c>
      <c r="AL12" s="13" t="s">
        <v>30</v>
      </c>
      <c r="AM12" s="13" t="s">
        <v>31</v>
      </c>
    </row>
    <row r="13" spans="2:39" s="22" customFormat="1" ht="74.25" customHeight="1" x14ac:dyDescent="0.25">
      <c r="B13" s="15">
        <v>1</v>
      </c>
      <c r="C13" s="24" t="s">
        <v>44</v>
      </c>
      <c r="D13" s="16"/>
      <c r="E13" s="16" t="s">
        <v>45</v>
      </c>
      <c r="F13" s="16" t="e">
        <f>'T08'!AL13</f>
        <v>#VALUE!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5">
        <f>SUM(G13:T13)</f>
        <v>0</v>
      </c>
      <c r="V13" s="16"/>
      <c r="W13" s="16"/>
      <c r="X13" s="16"/>
      <c r="Y13" s="23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3"/>
      <c r="AK13" s="25">
        <f>SUM(V13:AJ13)</f>
        <v>0</v>
      </c>
      <c r="AL13" s="25" t="e">
        <f>F13+U13-AK13</f>
        <v>#VALUE!</v>
      </c>
      <c r="AM13" s="23" t="s">
        <v>93</v>
      </c>
    </row>
    <row r="14" spans="2:39" ht="24" customHeight="1" x14ac:dyDescent="0.25">
      <c r="B14" s="15" t="s">
        <v>32</v>
      </c>
      <c r="C14" s="15"/>
      <c r="D14" s="15"/>
      <c r="E14" s="15"/>
      <c r="F14" s="8" t="e">
        <f>F13</f>
        <v>#VALUE!</v>
      </c>
      <c r="G14" s="8">
        <f t="shared" ref="G14:AL14" si="0">G13</f>
        <v>0</v>
      </c>
      <c r="H14" s="8">
        <f t="shared" si="0"/>
        <v>0</v>
      </c>
      <c r="I14" s="8">
        <f t="shared" si="0"/>
        <v>0</v>
      </c>
      <c r="J14" s="8">
        <f t="shared" si="0"/>
        <v>0</v>
      </c>
      <c r="K14" s="8">
        <f t="shared" si="0"/>
        <v>0</v>
      </c>
      <c r="L14" s="8">
        <f t="shared" si="0"/>
        <v>0</v>
      </c>
      <c r="M14" s="8">
        <f t="shared" si="0"/>
        <v>0</v>
      </c>
      <c r="N14" s="8">
        <f t="shared" si="0"/>
        <v>0</v>
      </c>
      <c r="O14" s="8">
        <f t="shared" si="0"/>
        <v>0</v>
      </c>
      <c r="P14" s="8">
        <f t="shared" si="0"/>
        <v>0</v>
      </c>
      <c r="Q14" s="8">
        <f t="shared" si="0"/>
        <v>0</v>
      </c>
      <c r="R14" s="8">
        <f t="shared" si="0"/>
        <v>0</v>
      </c>
      <c r="S14" s="8">
        <f t="shared" si="0"/>
        <v>0</v>
      </c>
      <c r="T14" s="8">
        <f t="shared" si="0"/>
        <v>0</v>
      </c>
      <c r="U14" s="8">
        <f t="shared" si="0"/>
        <v>0</v>
      </c>
      <c r="V14" s="8">
        <f t="shared" si="0"/>
        <v>0</v>
      </c>
      <c r="W14" s="8">
        <f t="shared" si="0"/>
        <v>0</v>
      </c>
      <c r="X14" s="8">
        <f t="shared" si="0"/>
        <v>0</v>
      </c>
      <c r="Y14" s="8">
        <f t="shared" si="0"/>
        <v>0</v>
      </c>
      <c r="Z14" s="8">
        <f t="shared" si="0"/>
        <v>0</v>
      </c>
      <c r="AA14" s="8">
        <f t="shared" si="0"/>
        <v>0</v>
      </c>
      <c r="AB14" s="8">
        <f t="shared" si="0"/>
        <v>0</v>
      </c>
      <c r="AC14" s="8">
        <f t="shared" si="0"/>
        <v>0</v>
      </c>
      <c r="AD14" s="8">
        <f t="shared" si="0"/>
        <v>0</v>
      </c>
      <c r="AE14" s="8">
        <f t="shared" si="0"/>
        <v>0</v>
      </c>
      <c r="AF14" s="8">
        <f t="shared" si="0"/>
        <v>0</v>
      </c>
      <c r="AG14" s="8">
        <f t="shared" si="0"/>
        <v>0</v>
      </c>
      <c r="AH14" s="8">
        <f t="shared" si="0"/>
        <v>0</v>
      </c>
      <c r="AI14" s="8">
        <f t="shared" si="0"/>
        <v>0</v>
      </c>
      <c r="AJ14" s="8">
        <f t="shared" si="0"/>
        <v>0</v>
      </c>
      <c r="AK14" s="8">
        <f t="shared" si="0"/>
        <v>0</v>
      </c>
      <c r="AL14" s="8" t="e">
        <f t="shared" si="0"/>
        <v>#VALUE!</v>
      </c>
      <c r="AM14" s="27"/>
    </row>
    <row r="15" spans="2:39" ht="24" customHeight="1" x14ac:dyDescent="0.25">
      <c r="B15" s="17"/>
      <c r="C15" s="17"/>
      <c r="D15" s="17"/>
      <c r="E15" s="17"/>
      <c r="F15" s="18" t="s">
        <v>96</v>
      </c>
      <c r="U15" s="57" t="s">
        <v>33</v>
      </c>
      <c r="V15" s="57"/>
      <c r="W15" s="57"/>
      <c r="X15" s="57"/>
      <c r="Y15" s="57"/>
      <c r="Z15" s="57"/>
      <c r="AA15" s="57"/>
      <c r="AB15" s="57"/>
      <c r="AC15" s="57"/>
      <c r="AD15" s="5"/>
      <c r="AE15" s="5"/>
      <c r="AF15" s="5"/>
      <c r="AG15" s="5"/>
      <c r="AH15" s="5"/>
      <c r="AI15" s="5"/>
      <c r="AJ15" s="19"/>
      <c r="AK15" s="19"/>
    </row>
    <row r="16" spans="2:39" ht="24" customHeight="1" x14ac:dyDescent="0.25">
      <c r="B16" s="17"/>
      <c r="C16" s="17"/>
      <c r="D16" s="17"/>
      <c r="E16" s="17"/>
      <c r="F16" s="18"/>
      <c r="U16" s="44"/>
      <c r="V16" s="44"/>
      <c r="W16" s="44"/>
      <c r="X16" s="44"/>
      <c r="Y16" s="44"/>
      <c r="Z16" s="44"/>
      <c r="AA16" s="44"/>
      <c r="AB16" s="44"/>
      <c r="AC16" s="44"/>
      <c r="AD16" s="5"/>
      <c r="AE16" s="5"/>
      <c r="AF16" s="5"/>
      <c r="AG16" s="5"/>
      <c r="AH16" s="5"/>
      <c r="AI16" s="5"/>
      <c r="AJ16" s="19"/>
      <c r="AK16" s="19"/>
    </row>
    <row r="17" spans="2:38" ht="24" customHeight="1" x14ac:dyDescent="0.25">
      <c r="B17" s="17"/>
      <c r="C17" s="17"/>
      <c r="D17" s="17"/>
      <c r="E17" s="17"/>
    </row>
    <row r="18" spans="2:38" ht="24" customHeight="1" x14ac:dyDescent="0.25">
      <c r="B18" s="17"/>
      <c r="C18" s="17"/>
      <c r="D18" s="17"/>
      <c r="E18" s="17"/>
    </row>
    <row r="19" spans="2:38" ht="24" customHeight="1" x14ac:dyDescent="0.25">
      <c r="B19" s="17"/>
      <c r="C19" s="17"/>
      <c r="D19" s="17"/>
      <c r="E19" s="17"/>
      <c r="F19" s="19" t="s">
        <v>94</v>
      </c>
    </row>
    <row r="20" spans="2:38" ht="24" customHeight="1" x14ac:dyDescent="0.3">
      <c r="B20" s="17"/>
      <c r="C20" s="17"/>
      <c r="D20" s="17"/>
      <c r="E20" s="17"/>
      <c r="F20" s="21"/>
      <c r="U20" s="45" t="s">
        <v>92</v>
      </c>
      <c r="V20" s="45"/>
      <c r="W20" s="45"/>
      <c r="X20" s="45"/>
      <c r="Y20" s="45"/>
      <c r="Z20" s="45"/>
      <c r="AA20" s="45"/>
      <c r="AB20" s="45"/>
      <c r="AC20" s="45"/>
    </row>
    <row r="21" spans="2:38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2:38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spans="2:38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spans="2:38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spans="2:38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 spans="2:38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spans="2:38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spans="2:38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</row>
  </sheetData>
  <mergeCells count="23">
    <mergeCell ref="U15:AC15"/>
    <mergeCell ref="B4:AL4"/>
    <mergeCell ref="B5:AL5"/>
    <mergeCell ref="B9:B11"/>
    <mergeCell ref="C9:C11"/>
    <mergeCell ref="D9:D11"/>
    <mergeCell ref="E9:E11"/>
    <mergeCell ref="G9:U9"/>
    <mergeCell ref="V9:AK9"/>
    <mergeCell ref="AM9:AM11"/>
    <mergeCell ref="F10:F11"/>
    <mergeCell ref="G10:T10"/>
    <mergeCell ref="U10:AK10"/>
    <mergeCell ref="AL10:AL11"/>
    <mergeCell ref="B26:AJ26"/>
    <mergeCell ref="B27:AJ27"/>
    <mergeCell ref="B28:AK28"/>
    <mergeCell ref="U16:AC16"/>
    <mergeCell ref="U20:AC20"/>
    <mergeCell ref="B22:AL22"/>
    <mergeCell ref="B23:AL23"/>
    <mergeCell ref="B24:AL24"/>
    <mergeCell ref="B25:AL25"/>
  </mergeCells>
  <pageMargins left="0.7" right="0.7" top="0.75" bottom="0.75" header="0.3" footer="0.3"/>
  <pageSetup paperSize="9" scale="3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AA46-D187-47B4-9DB4-3F1556787826}">
  <sheetPr codeName="Sheet10">
    <pageSetUpPr fitToPage="1"/>
  </sheetPr>
  <dimension ref="B1:AM28"/>
  <sheetViews>
    <sheetView topLeftCell="AG1" zoomScale="66" zoomScaleNormal="66" workbookViewId="0">
      <selection activeCell="F14" sqref="F14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7.7109375" style="1" customWidth="1"/>
    <col min="4" max="4" width="16.28515625" style="1" customWidth="1"/>
    <col min="5" max="5" width="13.42578125" style="1" customWidth="1"/>
    <col min="6" max="6" width="16.7109375" style="1" customWidth="1"/>
    <col min="7" max="20" width="8.7109375" style="3" customWidth="1"/>
    <col min="21" max="21" width="10.7109375" style="3" customWidth="1"/>
    <col min="22" max="35" width="8.42578125" style="3" customWidth="1"/>
    <col min="36" max="36" width="8.42578125" style="1" customWidth="1"/>
    <col min="37" max="37" width="17.140625" style="1" customWidth="1"/>
    <col min="38" max="38" width="21" style="1" customWidth="1"/>
    <col min="39" max="39" width="20.7109375" style="1" customWidth="1"/>
    <col min="40" max="268" width="8.7109375" style="1"/>
    <col min="269" max="269" width="3.7109375" style="1" customWidth="1"/>
    <col min="270" max="270" width="4.28515625" style="1" customWidth="1"/>
    <col min="271" max="271" width="11.28515625" style="1" customWidth="1"/>
    <col min="272" max="272" width="13.42578125" style="1" customWidth="1"/>
    <col min="273" max="275" width="5.42578125" style="1" customWidth="1"/>
    <col min="276" max="276" width="8.28515625" style="1" customWidth="1"/>
    <col min="277" max="279" width="4.7109375" style="1" customWidth="1"/>
    <col min="280" max="280" width="11.7109375" style="1" customWidth="1"/>
    <col min="281" max="282" width="7" style="1" customWidth="1"/>
    <col min="283" max="283" width="6.42578125" style="1" customWidth="1"/>
    <col min="284" max="284" width="15" style="1" customWidth="1"/>
    <col min="285" max="285" width="5.28515625" style="1" customWidth="1"/>
    <col min="286" max="288" width="4.7109375" style="1" customWidth="1"/>
    <col min="289" max="289" width="11.7109375" style="1" customWidth="1"/>
    <col min="290" max="290" width="10" style="1" customWidth="1"/>
    <col min="291" max="291" width="7.42578125" style="1" customWidth="1"/>
    <col min="292" max="292" width="7.140625" style="1" customWidth="1"/>
    <col min="293" max="293" width="6.42578125" style="1" customWidth="1"/>
    <col min="294" max="524" width="8.7109375" style="1"/>
    <col min="525" max="525" width="3.7109375" style="1" customWidth="1"/>
    <col min="526" max="526" width="4.28515625" style="1" customWidth="1"/>
    <col min="527" max="527" width="11.28515625" style="1" customWidth="1"/>
    <col min="528" max="528" width="13.42578125" style="1" customWidth="1"/>
    <col min="529" max="531" width="5.42578125" style="1" customWidth="1"/>
    <col min="532" max="532" width="8.28515625" style="1" customWidth="1"/>
    <col min="533" max="535" width="4.7109375" style="1" customWidth="1"/>
    <col min="536" max="536" width="11.7109375" style="1" customWidth="1"/>
    <col min="537" max="538" width="7" style="1" customWidth="1"/>
    <col min="539" max="539" width="6.42578125" style="1" customWidth="1"/>
    <col min="540" max="540" width="15" style="1" customWidth="1"/>
    <col min="541" max="541" width="5.28515625" style="1" customWidth="1"/>
    <col min="542" max="544" width="4.7109375" style="1" customWidth="1"/>
    <col min="545" max="545" width="11.7109375" style="1" customWidth="1"/>
    <col min="546" max="546" width="10" style="1" customWidth="1"/>
    <col min="547" max="547" width="7.42578125" style="1" customWidth="1"/>
    <col min="548" max="548" width="7.140625" style="1" customWidth="1"/>
    <col min="549" max="549" width="6.42578125" style="1" customWidth="1"/>
    <col min="550" max="780" width="8.7109375" style="1"/>
    <col min="781" max="781" width="3.7109375" style="1" customWidth="1"/>
    <col min="782" max="782" width="4.28515625" style="1" customWidth="1"/>
    <col min="783" max="783" width="11.28515625" style="1" customWidth="1"/>
    <col min="784" max="784" width="13.42578125" style="1" customWidth="1"/>
    <col min="785" max="787" width="5.42578125" style="1" customWidth="1"/>
    <col min="788" max="788" width="8.28515625" style="1" customWidth="1"/>
    <col min="789" max="791" width="4.7109375" style="1" customWidth="1"/>
    <col min="792" max="792" width="11.7109375" style="1" customWidth="1"/>
    <col min="793" max="794" width="7" style="1" customWidth="1"/>
    <col min="795" max="795" width="6.42578125" style="1" customWidth="1"/>
    <col min="796" max="796" width="15" style="1" customWidth="1"/>
    <col min="797" max="797" width="5.28515625" style="1" customWidth="1"/>
    <col min="798" max="800" width="4.7109375" style="1" customWidth="1"/>
    <col min="801" max="801" width="11.7109375" style="1" customWidth="1"/>
    <col min="802" max="802" width="10" style="1" customWidth="1"/>
    <col min="803" max="803" width="7.42578125" style="1" customWidth="1"/>
    <col min="804" max="804" width="7.140625" style="1" customWidth="1"/>
    <col min="805" max="805" width="6.42578125" style="1" customWidth="1"/>
    <col min="806" max="1036" width="8.7109375" style="1"/>
    <col min="1037" max="1037" width="3.7109375" style="1" customWidth="1"/>
    <col min="1038" max="1038" width="4.28515625" style="1" customWidth="1"/>
    <col min="1039" max="1039" width="11.28515625" style="1" customWidth="1"/>
    <col min="1040" max="1040" width="13.42578125" style="1" customWidth="1"/>
    <col min="1041" max="1043" width="5.42578125" style="1" customWidth="1"/>
    <col min="1044" max="1044" width="8.28515625" style="1" customWidth="1"/>
    <col min="1045" max="1047" width="4.7109375" style="1" customWidth="1"/>
    <col min="1048" max="1048" width="11.7109375" style="1" customWidth="1"/>
    <col min="1049" max="1050" width="7" style="1" customWidth="1"/>
    <col min="1051" max="1051" width="6.42578125" style="1" customWidth="1"/>
    <col min="1052" max="1052" width="15" style="1" customWidth="1"/>
    <col min="1053" max="1053" width="5.28515625" style="1" customWidth="1"/>
    <col min="1054" max="1056" width="4.7109375" style="1" customWidth="1"/>
    <col min="1057" max="1057" width="11.7109375" style="1" customWidth="1"/>
    <col min="1058" max="1058" width="10" style="1" customWidth="1"/>
    <col min="1059" max="1059" width="7.42578125" style="1" customWidth="1"/>
    <col min="1060" max="1060" width="7.140625" style="1" customWidth="1"/>
    <col min="1061" max="1061" width="6.42578125" style="1" customWidth="1"/>
    <col min="1062" max="1292" width="8.7109375" style="1"/>
    <col min="1293" max="1293" width="3.7109375" style="1" customWidth="1"/>
    <col min="1294" max="1294" width="4.28515625" style="1" customWidth="1"/>
    <col min="1295" max="1295" width="11.28515625" style="1" customWidth="1"/>
    <col min="1296" max="1296" width="13.42578125" style="1" customWidth="1"/>
    <col min="1297" max="1299" width="5.42578125" style="1" customWidth="1"/>
    <col min="1300" max="1300" width="8.28515625" style="1" customWidth="1"/>
    <col min="1301" max="1303" width="4.7109375" style="1" customWidth="1"/>
    <col min="1304" max="1304" width="11.7109375" style="1" customWidth="1"/>
    <col min="1305" max="1306" width="7" style="1" customWidth="1"/>
    <col min="1307" max="1307" width="6.42578125" style="1" customWidth="1"/>
    <col min="1308" max="1308" width="15" style="1" customWidth="1"/>
    <col min="1309" max="1309" width="5.28515625" style="1" customWidth="1"/>
    <col min="1310" max="1312" width="4.7109375" style="1" customWidth="1"/>
    <col min="1313" max="1313" width="11.7109375" style="1" customWidth="1"/>
    <col min="1314" max="1314" width="10" style="1" customWidth="1"/>
    <col min="1315" max="1315" width="7.42578125" style="1" customWidth="1"/>
    <col min="1316" max="1316" width="7.140625" style="1" customWidth="1"/>
    <col min="1317" max="1317" width="6.42578125" style="1" customWidth="1"/>
    <col min="1318" max="1548" width="8.7109375" style="1"/>
    <col min="1549" max="1549" width="3.7109375" style="1" customWidth="1"/>
    <col min="1550" max="1550" width="4.28515625" style="1" customWidth="1"/>
    <col min="1551" max="1551" width="11.28515625" style="1" customWidth="1"/>
    <col min="1552" max="1552" width="13.42578125" style="1" customWidth="1"/>
    <col min="1553" max="1555" width="5.42578125" style="1" customWidth="1"/>
    <col min="1556" max="1556" width="8.28515625" style="1" customWidth="1"/>
    <col min="1557" max="1559" width="4.7109375" style="1" customWidth="1"/>
    <col min="1560" max="1560" width="11.7109375" style="1" customWidth="1"/>
    <col min="1561" max="1562" width="7" style="1" customWidth="1"/>
    <col min="1563" max="1563" width="6.42578125" style="1" customWidth="1"/>
    <col min="1564" max="1564" width="15" style="1" customWidth="1"/>
    <col min="1565" max="1565" width="5.28515625" style="1" customWidth="1"/>
    <col min="1566" max="1568" width="4.7109375" style="1" customWidth="1"/>
    <col min="1569" max="1569" width="11.7109375" style="1" customWidth="1"/>
    <col min="1570" max="1570" width="10" style="1" customWidth="1"/>
    <col min="1571" max="1571" width="7.42578125" style="1" customWidth="1"/>
    <col min="1572" max="1572" width="7.140625" style="1" customWidth="1"/>
    <col min="1573" max="1573" width="6.42578125" style="1" customWidth="1"/>
    <col min="1574" max="1804" width="8.7109375" style="1"/>
    <col min="1805" max="1805" width="3.7109375" style="1" customWidth="1"/>
    <col min="1806" max="1806" width="4.28515625" style="1" customWidth="1"/>
    <col min="1807" max="1807" width="11.28515625" style="1" customWidth="1"/>
    <col min="1808" max="1808" width="13.42578125" style="1" customWidth="1"/>
    <col min="1809" max="1811" width="5.42578125" style="1" customWidth="1"/>
    <col min="1812" max="1812" width="8.28515625" style="1" customWidth="1"/>
    <col min="1813" max="1815" width="4.7109375" style="1" customWidth="1"/>
    <col min="1816" max="1816" width="11.7109375" style="1" customWidth="1"/>
    <col min="1817" max="1818" width="7" style="1" customWidth="1"/>
    <col min="1819" max="1819" width="6.42578125" style="1" customWidth="1"/>
    <col min="1820" max="1820" width="15" style="1" customWidth="1"/>
    <col min="1821" max="1821" width="5.28515625" style="1" customWidth="1"/>
    <col min="1822" max="1824" width="4.7109375" style="1" customWidth="1"/>
    <col min="1825" max="1825" width="11.7109375" style="1" customWidth="1"/>
    <col min="1826" max="1826" width="10" style="1" customWidth="1"/>
    <col min="1827" max="1827" width="7.42578125" style="1" customWidth="1"/>
    <col min="1828" max="1828" width="7.140625" style="1" customWidth="1"/>
    <col min="1829" max="1829" width="6.42578125" style="1" customWidth="1"/>
    <col min="1830" max="2060" width="8.7109375" style="1"/>
    <col min="2061" max="2061" width="3.7109375" style="1" customWidth="1"/>
    <col min="2062" max="2062" width="4.28515625" style="1" customWidth="1"/>
    <col min="2063" max="2063" width="11.28515625" style="1" customWidth="1"/>
    <col min="2064" max="2064" width="13.42578125" style="1" customWidth="1"/>
    <col min="2065" max="2067" width="5.42578125" style="1" customWidth="1"/>
    <col min="2068" max="2068" width="8.28515625" style="1" customWidth="1"/>
    <col min="2069" max="2071" width="4.7109375" style="1" customWidth="1"/>
    <col min="2072" max="2072" width="11.7109375" style="1" customWidth="1"/>
    <col min="2073" max="2074" width="7" style="1" customWidth="1"/>
    <col min="2075" max="2075" width="6.42578125" style="1" customWidth="1"/>
    <col min="2076" max="2076" width="15" style="1" customWidth="1"/>
    <col min="2077" max="2077" width="5.28515625" style="1" customWidth="1"/>
    <col min="2078" max="2080" width="4.7109375" style="1" customWidth="1"/>
    <col min="2081" max="2081" width="11.7109375" style="1" customWidth="1"/>
    <col min="2082" max="2082" width="10" style="1" customWidth="1"/>
    <col min="2083" max="2083" width="7.42578125" style="1" customWidth="1"/>
    <col min="2084" max="2084" width="7.140625" style="1" customWidth="1"/>
    <col min="2085" max="2085" width="6.42578125" style="1" customWidth="1"/>
    <col min="2086" max="2316" width="8.7109375" style="1"/>
    <col min="2317" max="2317" width="3.7109375" style="1" customWidth="1"/>
    <col min="2318" max="2318" width="4.28515625" style="1" customWidth="1"/>
    <col min="2319" max="2319" width="11.28515625" style="1" customWidth="1"/>
    <col min="2320" max="2320" width="13.42578125" style="1" customWidth="1"/>
    <col min="2321" max="2323" width="5.42578125" style="1" customWidth="1"/>
    <col min="2324" max="2324" width="8.28515625" style="1" customWidth="1"/>
    <col min="2325" max="2327" width="4.7109375" style="1" customWidth="1"/>
    <col min="2328" max="2328" width="11.7109375" style="1" customWidth="1"/>
    <col min="2329" max="2330" width="7" style="1" customWidth="1"/>
    <col min="2331" max="2331" width="6.42578125" style="1" customWidth="1"/>
    <col min="2332" max="2332" width="15" style="1" customWidth="1"/>
    <col min="2333" max="2333" width="5.28515625" style="1" customWidth="1"/>
    <col min="2334" max="2336" width="4.7109375" style="1" customWidth="1"/>
    <col min="2337" max="2337" width="11.7109375" style="1" customWidth="1"/>
    <col min="2338" max="2338" width="10" style="1" customWidth="1"/>
    <col min="2339" max="2339" width="7.42578125" style="1" customWidth="1"/>
    <col min="2340" max="2340" width="7.140625" style="1" customWidth="1"/>
    <col min="2341" max="2341" width="6.42578125" style="1" customWidth="1"/>
    <col min="2342" max="2572" width="8.7109375" style="1"/>
    <col min="2573" max="2573" width="3.7109375" style="1" customWidth="1"/>
    <col min="2574" max="2574" width="4.28515625" style="1" customWidth="1"/>
    <col min="2575" max="2575" width="11.28515625" style="1" customWidth="1"/>
    <col min="2576" max="2576" width="13.42578125" style="1" customWidth="1"/>
    <col min="2577" max="2579" width="5.42578125" style="1" customWidth="1"/>
    <col min="2580" max="2580" width="8.28515625" style="1" customWidth="1"/>
    <col min="2581" max="2583" width="4.7109375" style="1" customWidth="1"/>
    <col min="2584" max="2584" width="11.7109375" style="1" customWidth="1"/>
    <col min="2585" max="2586" width="7" style="1" customWidth="1"/>
    <col min="2587" max="2587" width="6.42578125" style="1" customWidth="1"/>
    <col min="2588" max="2588" width="15" style="1" customWidth="1"/>
    <col min="2589" max="2589" width="5.28515625" style="1" customWidth="1"/>
    <col min="2590" max="2592" width="4.7109375" style="1" customWidth="1"/>
    <col min="2593" max="2593" width="11.7109375" style="1" customWidth="1"/>
    <col min="2594" max="2594" width="10" style="1" customWidth="1"/>
    <col min="2595" max="2595" width="7.42578125" style="1" customWidth="1"/>
    <col min="2596" max="2596" width="7.140625" style="1" customWidth="1"/>
    <col min="2597" max="2597" width="6.42578125" style="1" customWidth="1"/>
    <col min="2598" max="2828" width="8.7109375" style="1"/>
    <col min="2829" max="2829" width="3.7109375" style="1" customWidth="1"/>
    <col min="2830" max="2830" width="4.28515625" style="1" customWidth="1"/>
    <col min="2831" max="2831" width="11.28515625" style="1" customWidth="1"/>
    <col min="2832" max="2832" width="13.42578125" style="1" customWidth="1"/>
    <col min="2833" max="2835" width="5.42578125" style="1" customWidth="1"/>
    <col min="2836" max="2836" width="8.28515625" style="1" customWidth="1"/>
    <col min="2837" max="2839" width="4.7109375" style="1" customWidth="1"/>
    <col min="2840" max="2840" width="11.7109375" style="1" customWidth="1"/>
    <col min="2841" max="2842" width="7" style="1" customWidth="1"/>
    <col min="2843" max="2843" width="6.42578125" style="1" customWidth="1"/>
    <col min="2844" max="2844" width="15" style="1" customWidth="1"/>
    <col min="2845" max="2845" width="5.28515625" style="1" customWidth="1"/>
    <col min="2846" max="2848" width="4.7109375" style="1" customWidth="1"/>
    <col min="2849" max="2849" width="11.7109375" style="1" customWidth="1"/>
    <col min="2850" max="2850" width="10" style="1" customWidth="1"/>
    <col min="2851" max="2851" width="7.42578125" style="1" customWidth="1"/>
    <col min="2852" max="2852" width="7.140625" style="1" customWidth="1"/>
    <col min="2853" max="2853" width="6.42578125" style="1" customWidth="1"/>
    <col min="2854" max="3084" width="8.7109375" style="1"/>
    <col min="3085" max="3085" width="3.7109375" style="1" customWidth="1"/>
    <col min="3086" max="3086" width="4.28515625" style="1" customWidth="1"/>
    <col min="3087" max="3087" width="11.28515625" style="1" customWidth="1"/>
    <col min="3088" max="3088" width="13.42578125" style="1" customWidth="1"/>
    <col min="3089" max="3091" width="5.42578125" style="1" customWidth="1"/>
    <col min="3092" max="3092" width="8.28515625" style="1" customWidth="1"/>
    <col min="3093" max="3095" width="4.7109375" style="1" customWidth="1"/>
    <col min="3096" max="3096" width="11.7109375" style="1" customWidth="1"/>
    <col min="3097" max="3098" width="7" style="1" customWidth="1"/>
    <col min="3099" max="3099" width="6.42578125" style="1" customWidth="1"/>
    <col min="3100" max="3100" width="15" style="1" customWidth="1"/>
    <col min="3101" max="3101" width="5.28515625" style="1" customWidth="1"/>
    <col min="3102" max="3104" width="4.7109375" style="1" customWidth="1"/>
    <col min="3105" max="3105" width="11.7109375" style="1" customWidth="1"/>
    <col min="3106" max="3106" width="10" style="1" customWidth="1"/>
    <col min="3107" max="3107" width="7.42578125" style="1" customWidth="1"/>
    <col min="3108" max="3108" width="7.140625" style="1" customWidth="1"/>
    <col min="3109" max="3109" width="6.42578125" style="1" customWidth="1"/>
    <col min="3110" max="3340" width="8.7109375" style="1"/>
    <col min="3341" max="3341" width="3.7109375" style="1" customWidth="1"/>
    <col min="3342" max="3342" width="4.28515625" style="1" customWidth="1"/>
    <col min="3343" max="3343" width="11.28515625" style="1" customWidth="1"/>
    <col min="3344" max="3344" width="13.42578125" style="1" customWidth="1"/>
    <col min="3345" max="3347" width="5.42578125" style="1" customWidth="1"/>
    <col min="3348" max="3348" width="8.28515625" style="1" customWidth="1"/>
    <col min="3349" max="3351" width="4.7109375" style="1" customWidth="1"/>
    <col min="3352" max="3352" width="11.7109375" style="1" customWidth="1"/>
    <col min="3353" max="3354" width="7" style="1" customWidth="1"/>
    <col min="3355" max="3355" width="6.42578125" style="1" customWidth="1"/>
    <col min="3356" max="3356" width="15" style="1" customWidth="1"/>
    <col min="3357" max="3357" width="5.28515625" style="1" customWidth="1"/>
    <col min="3358" max="3360" width="4.7109375" style="1" customWidth="1"/>
    <col min="3361" max="3361" width="11.7109375" style="1" customWidth="1"/>
    <col min="3362" max="3362" width="10" style="1" customWidth="1"/>
    <col min="3363" max="3363" width="7.42578125" style="1" customWidth="1"/>
    <col min="3364" max="3364" width="7.140625" style="1" customWidth="1"/>
    <col min="3365" max="3365" width="6.42578125" style="1" customWidth="1"/>
    <col min="3366" max="3596" width="8.7109375" style="1"/>
    <col min="3597" max="3597" width="3.7109375" style="1" customWidth="1"/>
    <col min="3598" max="3598" width="4.28515625" style="1" customWidth="1"/>
    <col min="3599" max="3599" width="11.28515625" style="1" customWidth="1"/>
    <col min="3600" max="3600" width="13.42578125" style="1" customWidth="1"/>
    <col min="3601" max="3603" width="5.42578125" style="1" customWidth="1"/>
    <col min="3604" max="3604" width="8.28515625" style="1" customWidth="1"/>
    <col min="3605" max="3607" width="4.7109375" style="1" customWidth="1"/>
    <col min="3608" max="3608" width="11.7109375" style="1" customWidth="1"/>
    <col min="3609" max="3610" width="7" style="1" customWidth="1"/>
    <col min="3611" max="3611" width="6.42578125" style="1" customWidth="1"/>
    <col min="3612" max="3612" width="15" style="1" customWidth="1"/>
    <col min="3613" max="3613" width="5.28515625" style="1" customWidth="1"/>
    <col min="3614" max="3616" width="4.7109375" style="1" customWidth="1"/>
    <col min="3617" max="3617" width="11.7109375" style="1" customWidth="1"/>
    <col min="3618" max="3618" width="10" style="1" customWidth="1"/>
    <col min="3619" max="3619" width="7.42578125" style="1" customWidth="1"/>
    <col min="3620" max="3620" width="7.140625" style="1" customWidth="1"/>
    <col min="3621" max="3621" width="6.42578125" style="1" customWidth="1"/>
    <col min="3622" max="3852" width="8.7109375" style="1"/>
    <col min="3853" max="3853" width="3.7109375" style="1" customWidth="1"/>
    <col min="3854" max="3854" width="4.28515625" style="1" customWidth="1"/>
    <col min="3855" max="3855" width="11.28515625" style="1" customWidth="1"/>
    <col min="3856" max="3856" width="13.42578125" style="1" customWidth="1"/>
    <col min="3857" max="3859" width="5.42578125" style="1" customWidth="1"/>
    <col min="3860" max="3860" width="8.28515625" style="1" customWidth="1"/>
    <col min="3861" max="3863" width="4.7109375" style="1" customWidth="1"/>
    <col min="3864" max="3864" width="11.7109375" style="1" customWidth="1"/>
    <col min="3865" max="3866" width="7" style="1" customWidth="1"/>
    <col min="3867" max="3867" width="6.42578125" style="1" customWidth="1"/>
    <col min="3868" max="3868" width="15" style="1" customWidth="1"/>
    <col min="3869" max="3869" width="5.28515625" style="1" customWidth="1"/>
    <col min="3870" max="3872" width="4.7109375" style="1" customWidth="1"/>
    <col min="3873" max="3873" width="11.7109375" style="1" customWidth="1"/>
    <col min="3874" max="3874" width="10" style="1" customWidth="1"/>
    <col min="3875" max="3875" width="7.42578125" style="1" customWidth="1"/>
    <col min="3876" max="3876" width="7.140625" style="1" customWidth="1"/>
    <col min="3877" max="3877" width="6.42578125" style="1" customWidth="1"/>
    <col min="3878" max="4108" width="8.7109375" style="1"/>
    <col min="4109" max="4109" width="3.7109375" style="1" customWidth="1"/>
    <col min="4110" max="4110" width="4.28515625" style="1" customWidth="1"/>
    <col min="4111" max="4111" width="11.28515625" style="1" customWidth="1"/>
    <col min="4112" max="4112" width="13.42578125" style="1" customWidth="1"/>
    <col min="4113" max="4115" width="5.42578125" style="1" customWidth="1"/>
    <col min="4116" max="4116" width="8.28515625" style="1" customWidth="1"/>
    <col min="4117" max="4119" width="4.7109375" style="1" customWidth="1"/>
    <col min="4120" max="4120" width="11.7109375" style="1" customWidth="1"/>
    <col min="4121" max="4122" width="7" style="1" customWidth="1"/>
    <col min="4123" max="4123" width="6.42578125" style="1" customWidth="1"/>
    <col min="4124" max="4124" width="15" style="1" customWidth="1"/>
    <col min="4125" max="4125" width="5.28515625" style="1" customWidth="1"/>
    <col min="4126" max="4128" width="4.7109375" style="1" customWidth="1"/>
    <col min="4129" max="4129" width="11.7109375" style="1" customWidth="1"/>
    <col min="4130" max="4130" width="10" style="1" customWidth="1"/>
    <col min="4131" max="4131" width="7.42578125" style="1" customWidth="1"/>
    <col min="4132" max="4132" width="7.140625" style="1" customWidth="1"/>
    <col min="4133" max="4133" width="6.42578125" style="1" customWidth="1"/>
    <col min="4134" max="4364" width="8.7109375" style="1"/>
    <col min="4365" max="4365" width="3.7109375" style="1" customWidth="1"/>
    <col min="4366" max="4366" width="4.28515625" style="1" customWidth="1"/>
    <col min="4367" max="4367" width="11.28515625" style="1" customWidth="1"/>
    <col min="4368" max="4368" width="13.42578125" style="1" customWidth="1"/>
    <col min="4369" max="4371" width="5.42578125" style="1" customWidth="1"/>
    <col min="4372" max="4372" width="8.28515625" style="1" customWidth="1"/>
    <col min="4373" max="4375" width="4.7109375" style="1" customWidth="1"/>
    <col min="4376" max="4376" width="11.7109375" style="1" customWidth="1"/>
    <col min="4377" max="4378" width="7" style="1" customWidth="1"/>
    <col min="4379" max="4379" width="6.42578125" style="1" customWidth="1"/>
    <col min="4380" max="4380" width="15" style="1" customWidth="1"/>
    <col min="4381" max="4381" width="5.28515625" style="1" customWidth="1"/>
    <col min="4382" max="4384" width="4.7109375" style="1" customWidth="1"/>
    <col min="4385" max="4385" width="11.7109375" style="1" customWidth="1"/>
    <col min="4386" max="4386" width="10" style="1" customWidth="1"/>
    <col min="4387" max="4387" width="7.42578125" style="1" customWidth="1"/>
    <col min="4388" max="4388" width="7.140625" style="1" customWidth="1"/>
    <col min="4389" max="4389" width="6.42578125" style="1" customWidth="1"/>
    <col min="4390" max="4620" width="8.7109375" style="1"/>
    <col min="4621" max="4621" width="3.7109375" style="1" customWidth="1"/>
    <col min="4622" max="4622" width="4.28515625" style="1" customWidth="1"/>
    <col min="4623" max="4623" width="11.28515625" style="1" customWidth="1"/>
    <col min="4624" max="4624" width="13.42578125" style="1" customWidth="1"/>
    <col min="4625" max="4627" width="5.42578125" style="1" customWidth="1"/>
    <col min="4628" max="4628" width="8.28515625" style="1" customWidth="1"/>
    <col min="4629" max="4631" width="4.7109375" style="1" customWidth="1"/>
    <col min="4632" max="4632" width="11.7109375" style="1" customWidth="1"/>
    <col min="4633" max="4634" width="7" style="1" customWidth="1"/>
    <col min="4635" max="4635" width="6.42578125" style="1" customWidth="1"/>
    <col min="4636" max="4636" width="15" style="1" customWidth="1"/>
    <col min="4637" max="4637" width="5.28515625" style="1" customWidth="1"/>
    <col min="4638" max="4640" width="4.7109375" style="1" customWidth="1"/>
    <col min="4641" max="4641" width="11.7109375" style="1" customWidth="1"/>
    <col min="4642" max="4642" width="10" style="1" customWidth="1"/>
    <col min="4643" max="4643" width="7.42578125" style="1" customWidth="1"/>
    <col min="4644" max="4644" width="7.140625" style="1" customWidth="1"/>
    <col min="4645" max="4645" width="6.42578125" style="1" customWidth="1"/>
    <col min="4646" max="4876" width="8.7109375" style="1"/>
    <col min="4877" max="4877" width="3.7109375" style="1" customWidth="1"/>
    <col min="4878" max="4878" width="4.28515625" style="1" customWidth="1"/>
    <col min="4879" max="4879" width="11.28515625" style="1" customWidth="1"/>
    <col min="4880" max="4880" width="13.42578125" style="1" customWidth="1"/>
    <col min="4881" max="4883" width="5.42578125" style="1" customWidth="1"/>
    <col min="4884" max="4884" width="8.28515625" style="1" customWidth="1"/>
    <col min="4885" max="4887" width="4.7109375" style="1" customWidth="1"/>
    <col min="4888" max="4888" width="11.7109375" style="1" customWidth="1"/>
    <col min="4889" max="4890" width="7" style="1" customWidth="1"/>
    <col min="4891" max="4891" width="6.42578125" style="1" customWidth="1"/>
    <col min="4892" max="4892" width="15" style="1" customWidth="1"/>
    <col min="4893" max="4893" width="5.28515625" style="1" customWidth="1"/>
    <col min="4894" max="4896" width="4.7109375" style="1" customWidth="1"/>
    <col min="4897" max="4897" width="11.7109375" style="1" customWidth="1"/>
    <col min="4898" max="4898" width="10" style="1" customWidth="1"/>
    <col min="4899" max="4899" width="7.42578125" style="1" customWidth="1"/>
    <col min="4900" max="4900" width="7.140625" style="1" customWidth="1"/>
    <col min="4901" max="4901" width="6.42578125" style="1" customWidth="1"/>
    <col min="4902" max="5132" width="8.7109375" style="1"/>
    <col min="5133" max="5133" width="3.7109375" style="1" customWidth="1"/>
    <col min="5134" max="5134" width="4.28515625" style="1" customWidth="1"/>
    <col min="5135" max="5135" width="11.28515625" style="1" customWidth="1"/>
    <col min="5136" max="5136" width="13.42578125" style="1" customWidth="1"/>
    <col min="5137" max="5139" width="5.42578125" style="1" customWidth="1"/>
    <col min="5140" max="5140" width="8.28515625" style="1" customWidth="1"/>
    <col min="5141" max="5143" width="4.7109375" style="1" customWidth="1"/>
    <col min="5144" max="5144" width="11.7109375" style="1" customWidth="1"/>
    <col min="5145" max="5146" width="7" style="1" customWidth="1"/>
    <col min="5147" max="5147" width="6.42578125" style="1" customWidth="1"/>
    <col min="5148" max="5148" width="15" style="1" customWidth="1"/>
    <col min="5149" max="5149" width="5.28515625" style="1" customWidth="1"/>
    <col min="5150" max="5152" width="4.7109375" style="1" customWidth="1"/>
    <col min="5153" max="5153" width="11.7109375" style="1" customWidth="1"/>
    <col min="5154" max="5154" width="10" style="1" customWidth="1"/>
    <col min="5155" max="5155" width="7.42578125" style="1" customWidth="1"/>
    <col min="5156" max="5156" width="7.140625" style="1" customWidth="1"/>
    <col min="5157" max="5157" width="6.42578125" style="1" customWidth="1"/>
    <col min="5158" max="5388" width="8.7109375" style="1"/>
    <col min="5389" max="5389" width="3.7109375" style="1" customWidth="1"/>
    <col min="5390" max="5390" width="4.28515625" style="1" customWidth="1"/>
    <col min="5391" max="5391" width="11.28515625" style="1" customWidth="1"/>
    <col min="5392" max="5392" width="13.42578125" style="1" customWidth="1"/>
    <col min="5393" max="5395" width="5.42578125" style="1" customWidth="1"/>
    <col min="5396" max="5396" width="8.28515625" style="1" customWidth="1"/>
    <col min="5397" max="5399" width="4.7109375" style="1" customWidth="1"/>
    <col min="5400" max="5400" width="11.7109375" style="1" customWidth="1"/>
    <col min="5401" max="5402" width="7" style="1" customWidth="1"/>
    <col min="5403" max="5403" width="6.42578125" style="1" customWidth="1"/>
    <col min="5404" max="5404" width="15" style="1" customWidth="1"/>
    <col min="5405" max="5405" width="5.28515625" style="1" customWidth="1"/>
    <col min="5406" max="5408" width="4.7109375" style="1" customWidth="1"/>
    <col min="5409" max="5409" width="11.7109375" style="1" customWidth="1"/>
    <col min="5410" max="5410" width="10" style="1" customWidth="1"/>
    <col min="5411" max="5411" width="7.42578125" style="1" customWidth="1"/>
    <col min="5412" max="5412" width="7.140625" style="1" customWidth="1"/>
    <col min="5413" max="5413" width="6.42578125" style="1" customWidth="1"/>
    <col min="5414" max="5644" width="8.7109375" style="1"/>
    <col min="5645" max="5645" width="3.7109375" style="1" customWidth="1"/>
    <col min="5646" max="5646" width="4.28515625" style="1" customWidth="1"/>
    <col min="5647" max="5647" width="11.28515625" style="1" customWidth="1"/>
    <col min="5648" max="5648" width="13.42578125" style="1" customWidth="1"/>
    <col min="5649" max="5651" width="5.42578125" style="1" customWidth="1"/>
    <col min="5652" max="5652" width="8.28515625" style="1" customWidth="1"/>
    <col min="5653" max="5655" width="4.7109375" style="1" customWidth="1"/>
    <col min="5656" max="5656" width="11.7109375" style="1" customWidth="1"/>
    <col min="5657" max="5658" width="7" style="1" customWidth="1"/>
    <col min="5659" max="5659" width="6.42578125" style="1" customWidth="1"/>
    <col min="5660" max="5660" width="15" style="1" customWidth="1"/>
    <col min="5661" max="5661" width="5.28515625" style="1" customWidth="1"/>
    <col min="5662" max="5664" width="4.7109375" style="1" customWidth="1"/>
    <col min="5665" max="5665" width="11.7109375" style="1" customWidth="1"/>
    <col min="5666" max="5666" width="10" style="1" customWidth="1"/>
    <col min="5667" max="5667" width="7.42578125" style="1" customWidth="1"/>
    <col min="5668" max="5668" width="7.140625" style="1" customWidth="1"/>
    <col min="5669" max="5669" width="6.42578125" style="1" customWidth="1"/>
    <col min="5670" max="5900" width="8.7109375" style="1"/>
    <col min="5901" max="5901" width="3.7109375" style="1" customWidth="1"/>
    <col min="5902" max="5902" width="4.28515625" style="1" customWidth="1"/>
    <col min="5903" max="5903" width="11.28515625" style="1" customWidth="1"/>
    <col min="5904" max="5904" width="13.42578125" style="1" customWidth="1"/>
    <col min="5905" max="5907" width="5.42578125" style="1" customWidth="1"/>
    <col min="5908" max="5908" width="8.28515625" style="1" customWidth="1"/>
    <col min="5909" max="5911" width="4.7109375" style="1" customWidth="1"/>
    <col min="5912" max="5912" width="11.7109375" style="1" customWidth="1"/>
    <col min="5913" max="5914" width="7" style="1" customWidth="1"/>
    <col min="5915" max="5915" width="6.42578125" style="1" customWidth="1"/>
    <col min="5916" max="5916" width="15" style="1" customWidth="1"/>
    <col min="5917" max="5917" width="5.28515625" style="1" customWidth="1"/>
    <col min="5918" max="5920" width="4.7109375" style="1" customWidth="1"/>
    <col min="5921" max="5921" width="11.7109375" style="1" customWidth="1"/>
    <col min="5922" max="5922" width="10" style="1" customWidth="1"/>
    <col min="5923" max="5923" width="7.42578125" style="1" customWidth="1"/>
    <col min="5924" max="5924" width="7.140625" style="1" customWidth="1"/>
    <col min="5925" max="5925" width="6.42578125" style="1" customWidth="1"/>
    <col min="5926" max="6156" width="8.7109375" style="1"/>
    <col min="6157" max="6157" width="3.7109375" style="1" customWidth="1"/>
    <col min="6158" max="6158" width="4.28515625" style="1" customWidth="1"/>
    <col min="6159" max="6159" width="11.28515625" style="1" customWidth="1"/>
    <col min="6160" max="6160" width="13.42578125" style="1" customWidth="1"/>
    <col min="6161" max="6163" width="5.42578125" style="1" customWidth="1"/>
    <col min="6164" max="6164" width="8.28515625" style="1" customWidth="1"/>
    <col min="6165" max="6167" width="4.7109375" style="1" customWidth="1"/>
    <col min="6168" max="6168" width="11.7109375" style="1" customWidth="1"/>
    <col min="6169" max="6170" width="7" style="1" customWidth="1"/>
    <col min="6171" max="6171" width="6.42578125" style="1" customWidth="1"/>
    <col min="6172" max="6172" width="15" style="1" customWidth="1"/>
    <col min="6173" max="6173" width="5.28515625" style="1" customWidth="1"/>
    <col min="6174" max="6176" width="4.7109375" style="1" customWidth="1"/>
    <col min="6177" max="6177" width="11.7109375" style="1" customWidth="1"/>
    <col min="6178" max="6178" width="10" style="1" customWidth="1"/>
    <col min="6179" max="6179" width="7.42578125" style="1" customWidth="1"/>
    <col min="6180" max="6180" width="7.140625" style="1" customWidth="1"/>
    <col min="6181" max="6181" width="6.42578125" style="1" customWidth="1"/>
    <col min="6182" max="6412" width="8.7109375" style="1"/>
    <col min="6413" max="6413" width="3.7109375" style="1" customWidth="1"/>
    <col min="6414" max="6414" width="4.28515625" style="1" customWidth="1"/>
    <col min="6415" max="6415" width="11.28515625" style="1" customWidth="1"/>
    <col min="6416" max="6416" width="13.42578125" style="1" customWidth="1"/>
    <col min="6417" max="6419" width="5.42578125" style="1" customWidth="1"/>
    <col min="6420" max="6420" width="8.28515625" style="1" customWidth="1"/>
    <col min="6421" max="6423" width="4.7109375" style="1" customWidth="1"/>
    <col min="6424" max="6424" width="11.7109375" style="1" customWidth="1"/>
    <col min="6425" max="6426" width="7" style="1" customWidth="1"/>
    <col min="6427" max="6427" width="6.42578125" style="1" customWidth="1"/>
    <col min="6428" max="6428" width="15" style="1" customWidth="1"/>
    <col min="6429" max="6429" width="5.28515625" style="1" customWidth="1"/>
    <col min="6430" max="6432" width="4.7109375" style="1" customWidth="1"/>
    <col min="6433" max="6433" width="11.7109375" style="1" customWidth="1"/>
    <col min="6434" max="6434" width="10" style="1" customWidth="1"/>
    <col min="6435" max="6435" width="7.42578125" style="1" customWidth="1"/>
    <col min="6436" max="6436" width="7.140625" style="1" customWidth="1"/>
    <col min="6437" max="6437" width="6.42578125" style="1" customWidth="1"/>
    <col min="6438" max="6668" width="8.7109375" style="1"/>
    <col min="6669" max="6669" width="3.7109375" style="1" customWidth="1"/>
    <col min="6670" max="6670" width="4.28515625" style="1" customWidth="1"/>
    <col min="6671" max="6671" width="11.28515625" style="1" customWidth="1"/>
    <col min="6672" max="6672" width="13.42578125" style="1" customWidth="1"/>
    <col min="6673" max="6675" width="5.42578125" style="1" customWidth="1"/>
    <col min="6676" max="6676" width="8.28515625" style="1" customWidth="1"/>
    <col min="6677" max="6679" width="4.7109375" style="1" customWidth="1"/>
    <col min="6680" max="6680" width="11.7109375" style="1" customWidth="1"/>
    <col min="6681" max="6682" width="7" style="1" customWidth="1"/>
    <col min="6683" max="6683" width="6.42578125" style="1" customWidth="1"/>
    <col min="6684" max="6684" width="15" style="1" customWidth="1"/>
    <col min="6685" max="6685" width="5.28515625" style="1" customWidth="1"/>
    <col min="6686" max="6688" width="4.7109375" style="1" customWidth="1"/>
    <col min="6689" max="6689" width="11.7109375" style="1" customWidth="1"/>
    <col min="6690" max="6690" width="10" style="1" customWidth="1"/>
    <col min="6691" max="6691" width="7.42578125" style="1" customWidth="1"/>
    <col min="6692" max="6692" width="7.140625" style="1" customWidth="1"/>
    <col min="6693" max="6693" width="6.42578125" style="1" customWidth="1"/>
    <col min="6694" max="6924" width="8.7109375" style="1"/>
    <col min="6925" max="6925" width="3.7109375" style="1" customWidth="1"/>
    <col min="6926" max="6926" width="4.28515625" style="1" customWidth="1"/>
    <col min="6927" max="6927" width="11.28515625" style="1" customWidth="1"/>
    <col min="6928" max="6928" width="13.42578125" style="1" customWidth="1"/>
    <col min="6929" max="6931" width="5.42578125" style="1" customWidth="1"/>
    <col min="6932" max="6932" width="8.28515625" style="1" customWidth="1"/>
    <col min="6933" max="6935" width="4.7109375" style="1" customWidth="1"/>
    <col min="6936" max="6936" width="11.7109375" style="1" customWidth="1"/>
    <col min="6937" max="6938" width="7" style="1" customWidth="1"/>
    <col min="6939" max="6939" width="6.42578125" style="1" customWidth="1"/>
    <col min="6940" max="6940" width="15" style="1" customWidth="1"/>
    <col min="6941" max="6941" width="5.28515625" style="1" customWidth="1"/>
    <col min="6942" max="6944" width="4.7109375" style="1" customWidth="1"/>
    <col min="6945" max="6945" width="11.7109375" style="1" customWidth="1"/>
    <col min="6946" max="6946" width="10" style="1" customWidth="1"/>
    <col min="6947" max="6947" width="7.42578125" style="1" customWidth="1"/>
    <col min="6948" max="6948" width="7.140625" style="1" customWidth="1"/>
    <col min="6949" max="6949" width="6.42578125" style="1" customWidth="1"/>
    <col min="6950" max="7180" width="8.7109375" style="1"/>
    <col min="7181" max="7181" width="3.7109375" style="1" customWidth="1"/>
    <col min="7182" max="7182" width="4.28515625" style="1" customWidth="1"/>
    <col min="7183" max="7183" width="11.28515625" style="1" customWidth="1"/>
    <col min="7184" max="7184" width="13.42578125" style="1" customWidth="1"/>
    <col min="7185" max="7187" width="5.42578125" style="1" customWidth="1"/>
    <col min="7188" max="7188" width="8.28515625" style="1" customWidth="1"/>
    <col min="7189" max="7191" width="4.7109375" style="1" customWidth="1"/>
    <col min="7192" max="7192" width="11.7109375" style="1" customWidth="1"/>
    <col min="7193" max="7194" width="7" style="1" customWidth="1"/>
    <col min="7195" max="7195" width="6.42578125" style="1" customWidth="1"/>
    <col min="7196" max="7196" width="15" style="1" customWidth="1"/>
    <col min="7197" max="7197" width="5.28515625" style="1" customWidth="1"/>
    <col min="7198" max="7200" width="4.7109375" style="1" customWidth="1"/>
    <col min="7201" max="7201" width="11.7109375" style="1" customWidth="1"/>
    <col min="7202" max="7202" width="10" style="1" customWidth="1"/>
    <col min="7203" max="7203" width="7.42578125" style="1" customWidth="1"/>
    <col min="7204" max="7204" width="7.140625" style="1" customWidth="1"/>
    <col min="7205" max="7205" width="6.42578125" style="1" customWidth="1"/>
    <col min="7206" max="7436" width="8.7109375" style="1"/>
    <col min="7437" max="7437" width="3.7109375" style="1" customWidth="1"/>
    <col min="7438" max="7438" width="4.28515625" style="1" customWidth="1"/>
    <col min="7439" max="7439" width="11.28515625" style="1" customWidth="1"/>
    <col min="7440" max="7440" width="13.42578125" style="1" customWidth="1"/>
    <col min="7441" max="7443" width="5.42578125" style="1" customWidth="1"/>
    <col min="7444" max="7444" width="8.28515625" style="1" customWidth="1"/>
    <col min="7445" max="7447" width="4.7109375" style="1" customWidth="1"/>
    <col min="7448" max="7448" width="11.7109375" style="1" customWidth="1"/>
    <col min="7449" max="7450" width="7" style="1" customWidth="1"/>
    <col min="7451" max="7451" width="6.42578125" style="1" customWidth="1"/>
    <col min="7452" max="7452" width="15" style="1" customWidth="1"/>
    <col min="7453" max="7453" width="5.28515625" style="1" customWidth="1"/>
    <col min="7454" max="7456" width="4.7109375" style="1" customWidth="1"/>
    <col min="7457" max="7457" width="11.7109375" style="1" customWidth="1"/>
    <col min="7458" max="7458" width="10" style="1" customWidth="1"/>
    <col min="7459" max="7459" width="7.42578125" style="1" customWidth="1"/>
    <col min="7460" max="7460" width="7.140625" style="1" customWidth="1"/>
    <col min="7461" max="7461" width="6.42578125" style="1" customWidth="1"/>
    <col min="7462" max="7692" width="8.7109375" style="1"/>
    <col min="7693" max="7693" width="3.7109375" style="1" customWidth="1"/>
    <col min="7694" max="7694" width="4.28515625" style="1" customWidth="1"/>
    <col min="7695" max="7695" width="11.28515625" style="1" customWidth="1"/>
    <col min="7696" max="7696" width="13.42578125" style="1" customWidth="1"/>
    <col min="7697" max="7699" width="5.42578125" style="1" customWidth="1"/>
    <col min="7700" max="7700" width="8.28515625" style="1" customWidth="1"/>
    <col min="7701" max="7703" width="4.7109375" style="1" customWidth="1"/>
    <col min="7704" max="7704" width="11.7109375" style="1" customWidth="1"/>
    <col min="7705" max="7706" width="7" style="1" customWidth="1"/>
    <col min="7707" max="7707" width="6.42578125" style="1" customWidth="1"/>
    <col min="7708" max="7708" width="15" style="1" customWidth="1"/>
    <col min="7709" max="7709" width="5.28515625" style="1" customWidth="1"/>
    <col min="7710" max="7712" width="4.7109375" style="1" customWidth="1"/>
    <col min="7713" max="7713" width="11.7109375" style="1" customWidth="1"/>
    <col min="7714" max="7714" width="10" style="1" customWidth="1"/>
    <col min="7715" max="7715" width="7.42578125" style="1" customWidth="1"/>
    <col min="7716" max="7716" width="7.140625" style="1" customWidth="1"/>
    <col min="7717" max="7717" width="6.42578125" style="1" customWidth="1"/>
    <col min="7718" max="7948" width="8.7109375" style="1"/>
    <col min="7949" max="7949" width="3.7109375" style="1" customWidth="1"/>
    <col min="7950" max="7950" width="4.28515625" style="1" customWidth="1"/>
    <col min="7951" max="7951" width="11.28515625" style="1" customWidth="1"/>
    <col min="7952" max="7952" width="13.42578125" style="1" customWidth="1"/>
    <col min="7953" max="7955" width="5.42578125" style="1" customWidth="1"/>
    <col min="7956" max="7956" width="8.28515625" style="1" customWidth="1"/>
    <col min="7957" max="7959" width="4.7109375" style="1" customWidth="1"/>
    <col min="7960" max="7960" width="11.7109375" style="1" customWidth="1"/>
    <col min="7961" max="7962" width="7" style="1" customWidth="1"/>
    <col min="7963" max="7963" width="6.42578125" style="1" customWidth="1"/>
    <col min="7964" max="7964" width="15" style="1" customWidth="1"/>
    <col min="7965" max="7965" width="5.28515625" style="1" customWidth="1"/>
    <col min="7966" max="7968" width="4.7109375" style="1" customWidth="1"/>
    <col min="7969" max="7969" width="11.7109375" style="1" customWidth="1"/>
    <col min="7970" max="7970" width="10" style="1" customWidth="1"/>
    <col min="7971" max="7971" width="7.42578125" style="1" customWidth="1"/>
    <col min="7972" max="7972" width="7.140625" style="1" customWidth="1"/>
    <col min="7973" max="7973" width="6.42578125" style="1" customWidth="1"/>
    <col min="7974" max="8204" width="8.7109375" style="1"/>
    <col min="8205" max="8205" width="3.7109375" style="1" customWidth="1"/>
    <col min="8206" max="8206" width="4.28515625" style="1" customWidth="1"/>
    <col min="8207" max="8207" width="11.28515625" style="1" customWidth="1"/>
    <col min="8208" max="8208" width="13.42578125" style="1" customWidth="1"/>
    <col min="8209" max="8211" width="5.42578125" style="1" customWidth="1"/>
    <col min="8212" max="8212" width="8.28515625" style="1" customWidth="1"/>
    <col min="8213" max="8215" width="4.7109375" style="1" customWidth="1"/>
    <col min="8216" max="8216" width="11.7109375" style="1" customWidth="1"/>
    <col min="8217" max="8218" width="7" style="1" customWidth="1"/>
    <col min="8219" max="8219" width="6.42578125" style="1" customWidth="1"/>
    <col min="8220" max="8220" width="15" style="1" customWidth="1"/>
    <col min="8221" max="8221" width="5.28515625" style="1" customWidth="1"/>
    <col min="8222" max="8224" width="4.7109375" style="1" customWidth="1"/>
    <col min="8225" max="8225" width="11.7109375" style="1" customWidth="1"/>
    <col min="8226" max="8226" width="10" style="1" customWidth="1"/>
    <col min="8227" max="8227" width="7.42578125" style="1" customWidth="1"/>
    <col min="8228" max="8228" width="7.140625" style="1" customWidth="1"/>
    <col min="8229" max="8229" width="6.42578125" style="1" customWidth="1"/>
    <col min="8230" max="8460" width="8.7109375" style="1"/>
    <col min="8461" max="8461" width="3.7109375" style="1" customWidth="1"/>
    <col min="8462" max="8462" width="4.28515625" style="1" customWidth="1"/>
    <col min="8463" max="8463" width="11.28515625" style="1" customWidth="1"/>
    <col min="8464" max="8464" width="13.42578125" style="1" customWidth="1"/>
    <col min="8465" max="8467" width="5.42578125" style="1" customWidth="1"/>
    <col min="8468" max="8468" width="8.28515625" style="1" customWidth="1"/>
    <col min="8469" max="8471" width="4.7109375" style="1" customWidth="1"/>
    <col min="8472" max="8472" width="11.7109375" style="1" customWidth="1"/>
    <col min="8473" max="8474" width="7" style="1" customWidth="1"/>
    <col min="8475" max="8475" width="6.42578125" style="1" customWidth="1"/>
    <col min="8476" max="8476" width="15" style="1" customWidth="1"/>
    <col min="8477" max="8477" width="5.28515625" style="1" customWidth="1"/>
    <col min="8478" max="8480" width="4.7109375" style="1" customWidth="1"/>
    <col min="8481" max="8481" width="11.7109375" style="1" customWidth="1"/>
    <col min="8482" max="8482" width="10" style="1" customWidth="1"/>
    <col min="8483" max="8483" width="7.42578125" style="1" customWidth="1"/>
    <col min="8484" max="8484" width="7.140625" style="1" customWidth="1"/>
    <col min="8485" max="8485" width="6.42578125" style="1" customWidth="1"/>
    <col min="8486" max="8716" width="8.7109375" style="1"/>
    <col min="8717" max="8717" width="3.7109375" style="1" customWidth="1"/>
    <col min="8718" max="8718" width="4.28515625" style="1" customWidth="1"/>
    <col min="8719" max="8719" width="11.28515625" style="1" customWidth="1"/>
    <col min="8720" max="8720" width="13.42578125" style="1" customWidth="1"/>
    <col min="8721" max="8723" width="5.42578125" style="1" customWidth="1"/>
    <col min="8724" max="8724" width="8.28515625" style="1" customWidth="1"/>
    <col min="8725" max="8727" width="4.7109375" style="1" customWidth="1"/>
    <col min="8728" max="8728" width="11.7109375" style="1" customWidth="1"/>
    <col min="8729" max="8730" width="7" style="1" customWidth="1"/>
    <col min="8731" max="8731" width="6.42578125" style="1" customWidth="1"/>
    <col min="8732" max="8732" width="15" style="1" customWidth="1"/>
    <col min="8733" max="8733" width="5.28515625" style="1" customWidth="1"/>
    <col min="8734" max="8736" width="4.7109375" style="1" customWidth="1"/>
    <col min="8737" max="8737" width="11.7109375" style="1" customWidth="1"/>
    <col min="8738" max="8738" width="10" style="1" customWidth="1"/>
    <col min="8739" max="8739" width="7.42578125" style="1" customWidth="1"/>
    <col min="8740" max="8740" width="7.140625" style="1" customWidth="1"/>
    <col min="8741" max="8741" width="6.42578125" style="1" customWidth="1"/>
    <col min="8742" max="8972" width="8.7109375" style="1"/>
    <col min="8973" max="8973" width="3.7109375" style="1" customWidth="1"/>
    <col min="8974" max="8974" width="4.28515625" style="1" customWidth="1"/>
    <col min="8975" max="8975" width="11.28515625" style="1" customWidth="1"/>
    <col min="8976" max="8976" width="13.42578125" style="1" customWidth="1"/>
    <col min="8977" max="8979" width="5.42578125" style="1" customWidth="1"/>
    <col min="8980" max="8980" width="8.28515625" style="1" customWidth="1"/>
    <col min="8981" max="8983" width="4.7109375" style="1" customWidth="1"/>
    <col min="8984" max="8984" width="11.7109375" style="1" customWidth="1"/>
    <col min="8985" max="8986" width="7" style="1" customWidth="1"/>
    <col min="8987" max="8987" width="6.42578125" style="1" customWidth="1"/>
    <col min="8988" max="8988" width="15" style="1" customWidth="1"/>
    <col min="8989" max="8989" width="5.28515625" style="1" customWidth="1"/>
    <col min="8990" max="8992" width="4.7109375" style="1" customWidth="1"/>
    <col min="8993" max="8993" width="11.7109375" style="1" customWidth="1"/>
    <col min="8994" max="8994" width="10" style="1" customWidth="1"/>
    <col min="8995" max="8995" width="7.42578125" style="1" customWidth="1"/>
    <col min="8996" max="8996" width="7.140625" style="1" customWidth="1"/>
    <col min="8997" max="8997" width="6.42578125" style="1" customWidth="1"/>
    <col min="8998" max="9228" width="8.7109375" style="1"/>
    <col min="9229" max="9229" width="3.7109375" style="1" customWidth="1"/>
    <col min="9230" max="9230" width="4.28515625" style="1" customWidth="1"/>
    <col min="9231" max="9231" width="11.28515625" style="1" customWidth="1"/>
    <col min="9232" max="9232" width="13.42578125" style="1" customWidth="1"/>
    <col min="9233" max="9235" width="5.42578125" style="1" customWidth="1"/>
    <col min="9236" max="9236" width="8.28515625" style="1" customWidth="1"/>
    <col min="9237" max="9239" width="4.7109375" style="1" customWidth="1"/>
    <col min="9240" max="9240" width="11.7109375" style="1" customWidth="1"/>
    <col min="9241" max="9242" width="7" style="1" customWidth="1"/>
    <col min="9243" max="9243" width="6.42578125" style="1" customWidth="1"/>
    <col min="9244" max="9244" width="15" style="1" customWidth="1"/>
    <col min="9245" max="9245" width="5.28515625" style="1" customWidth="1"/>
    <col min="9246" max="9248" width="4.7109375" style="1" customWidth="1"/>
    <col min="9249" max="9249" width="11.7109375" style="1" customWidth="1"/>
    <col min="9250" max="9250" width="10" style="1" customWidth="1"/>
    <col min="9251" max="9251" width="7.42578125" style="1" customWidth="1"/>
    <col min="9252" max="9252" width="7.140625" style="1" customWidth="1"/>
    <col min="9253" max="9253" width="6.42578125" style="1" customWidth="1"/>
    <col min="9254" max="9484" width="8.7109375" style="1"/>
    <col min="9485" max="9485" width="3.7109375" style="1" customWidth="1"/>
    <col min="9486" max="9486" width="4.28515625" style="1" customWidth="1"/>
    <col min="9487" max="9487" width="11.28515625" style="1" customWidth="1"/>
    <col min="9488" max="9488" width="13.42578125" style="1" customWidth="1"/>
    <col min="9489" max="9491" width="5.42578125" style="1" customWidth="1"/>
    <col min="9492" max="9492" width="8.28515625" style="1" customWidth="1"/>
    <col min="9493" max="9495" width="4.7109375" style="1" customWidth="1"/>
    <col min="9496" max="9496" width="11.7109375" style="1" customWidth="1"/>
    <col min="9497" max="9498" width="7" style="1" customWidth="1"/>
    <col min="9499" max="9499" width="6.42578125" style="1" customWidth="1"/>
    <col min="9500" max="9500" width="15" style="1" customWidth="1"/>
    <col min="9501" max="9501" width="5.28515625" style="1" customWidth="1"/>
    <col min="9502" max="9504" width="4.7109375" style="1" customWidth="1"/>
    <col min="9505" max="9505" width="11.7109375" style="1" customWidth="1"/>
    <col min="9506" max="9506" width="10" style="1" customWidth="1"/>
    <col min="9507" max="9507" width="7.42578125" style="1" customWidth="1"/>
    <col min="9508" max="9508" width="7.140625" style="1" customWidth="1"/>
    <col min="9509" max="9509" width="6.42578125" style="1" customWidth="1"/>
    <col min="9510" max="9740" width="8.7109375" style="1"/>
    <col min="9741" max="9741" width="3.7109375" style="1" customWidth="1"/>
    <col min="9742" max="9742" width="4.28515625" style="1" customWidth="1"/>
    <col min="9743" max="9743" width="11.28515625" style="1" customWidth="1"/>
    <col min="9744" max="9744" width="13.42578125" style="1" customWidth="1"/>
    <col min="9745" max="9747" width="5.42578125" style="1" customWidth="1"/>
    <col min="9748" max="9748" width="8.28515625" style="1" customWidth="1"/>
    <col min="9749" max="9751" width="4.7109375" style="1" customWidth="1"/>
    <col min="9752" max="9752" width="11.7109375" style="1" customWidth="1"/>
    <col min="9753" max="9754" width="7" style="1" customWidth="1"/>
    <col min="9755" max="9755" width="6.42578125" style="1" customWidth="1"/>
    <col min="9756" max="9756" width="15" style="1" customWidth="1"/>
    <col min="9757" max="9757" width="5.28515625" style="1" customWidth="1"/>
    <col min="9758" max="9760" width="4.7109375" style="1" customWidth="1"/>
    <col min="9761" max="9761" width="11.7109375" style="1" customWidth="1"/>
    <col min="9762" max="9762" width="10" style="1" customWidth="1"/>
    <col min="9763" max="9763" width="7.42578125" style="1" customWidth="1"/>
    <col min="9764" max="9764" width="7.140625" style="1" customWidth="1"/>
    <col min="9765" max="9765" width="6.42578125" style="1" customWidth="1"/>
    <col min="9766" max="9996" width="8.7109375" style="1"/>
    <col min="9997" max="9997" width="3.7109375" style="1" customWidth="1"/>
    <col min="9998" max="9998" width="4.28515625" style="1" customWidth="1"/>
    <col min="9999" max="9999" width="11.28515625" style="1" customWidth="1"/>
    <col min="10000" max="10000" width="13.42578125" style="1" customWidth="1"/>
    <col min="10001" max="10003" width="5.42578125" style="1" customWidth="1"/>
    <col min="10004" max="10004" width="8.28515625" style="1" customWidth="1"/>
    <col min="10005" max="10007" width="4.7109375" style="1" customWidth="1"/>
    <col min="10008" max="10008" width="11.7109375" style="1" customWidth="1"/>
    <col min="10009" max="10010" width="7" style="1" customWidth="1"/>
    <col min="10011" max="10011" width="6.42578125" style="1" customWidth="1"/>
    <col min="10012" max="10012" width="15" style="1" customWidth="1"/>
    <col min="10013" max="10013" width="5.28515625" style="1" customWidth="1"/>
    <col min="10014" max="10016" width="4.7109375" style="1" customWidth="1"/>
    <col min="10017" max="10017" width="11.7109375" style="1" customWidth="1"/>
    <col min="10018" max="10018" width="10" style="1" customWidth="1"/>
    <col min="10019" max="10019" width="7.42578125" style="1" customWidth="1"/>
    <col min="10020" max="10020" width="7.140625" style="1" customWidth="1"/>
    <col min="10021" max="10021" width="6.42578125" style="1" customWidth="1"/>
    <col min="10022" max="10252" width="8.7109375" style="1"/>
    <col min="10253" max="10253" width="3.7109375" style="1" customWidth="1"/>
    <col min="10254" max="10254" width="4.28515625" style="1" customWidth="1"/>
    <col min="10255" max="10255" width="11.28515625" style="1" customWidth="1"/>
    <col min="10256" max="10256" width="13.42578125" style="1" customWidth="1"/>
    <col min="10257" max="10259" width="5.42578125" style="1" customWidth="1"/>
    <col min="10260" max="10260" width="8.28515625" style="1" customWidth="1"/>
    <col min="10261" max="10263" width="4.7109375" style="1" customWidth="1"/>
    <col min="10264" max="10264" width="11.7109375" style="1" customWidth="1"/>
    <col min="10265" max="10266" width="7" style="1" customWidth="1"/>
    <col min="10267" max="10267" width="6.42578125" style="1" customWidth="1"/>
    <col min="10268" max="10268" width="15" style="1" customWidth="1"/>
    <col min="10269" max="10269" width="5.28515625" style="1" customWidth="1"/>
    <col min="10270" max="10272" width="4.7109375" style="1" customWidth="1"/>
    <col min="10273" max="10273" width="11.7109375" style="1" customWidth="1"/>
    <col min="10274" max="10274" width="10" style="1" customWidth="1"/>
    <col min="10275" max="10275" width="7.42578125" style="1" customWidth="1"/>
    <col min="10276" max="10276" width="7.140625" style="1" customWidth="1"/>
    <col min="10277" max="10277" width="6.42578125" style="1" customWidth="1"/>
    <col min="10278" max="10508" width="8.7109375" style="1"/>
    <col min="10509" max="10509" width="3.7109375" style="1" customWidth="1"/>
    <col min="10510" max="10510" width="4.28515625" style="1" customWidth="1"/>
    <col min="10511" max="10511" width="11.28515625" style="1" customWidth="1"/>
    <col min="10512" max="10512" width="13.42578125" style="1" customWidth="1"/>
    <col min="10513" max="10515" width="5.42578125" style="1" customWidth="1"/>
    <col min="10516" max="10516" width="8.28515625" style="1" customWidth="1"/>
    <col min="10517" max="10519" width="4.7109375" style="1" customWidth="1"/>
    <col min="10520" max="10520" width="11.7109375" style="1" customWidth="1"/>
    <col min="10521" max="10522" width="7" style="1" customWidth="1"/>
    <col min="10523" max="10523" width="6.42578125" style="1" customWidth="1"/>
    <col min="10524" max="10524" width="15" style="1" customWidth="1"/>
    <col min="10525" max="10525" width="5.28515625" style="1" customWidth="1"/>
    <col min="10526" max="10528" width="4.7109375" style="1" customWidth="1"/>
    <col min="10529" max="10529" width="11.7109375" style="1" customWidth="1"/>
    <col min="10530" max="10530" width="10" style="1" customWidth="1"/>
    <col min="10531" max="10531" width="7.42578125" style="1" customWidth="1"/>
    <col min="10532" max="10532" width="7.140625" style="1" customWidth="1"/>
    <col min="10533" max="10533" width="6.42578125" style="1" customWidth="1"/>
    <col min="10534" max="10764" width="8.7109375" style="1"/>
    <col min="10765" max="10765" width="3.7109375" style="1" customWidth="1"/>
    <col min="10766" max="10766" width="4.28515625" style="1" customWidth="1"/>
    <col min="10767" max="10767" width="11.28515625" style="1" customWidth="1"/>
    <col min="10768" max="10768" width="13.42578125" style="1" customWidth="1"/>
    <col min="10769" max="10771" width="5.42578125" style="1" customWidth="1"/>
    <col min="10772" max="10772" width="8.28515625" style="1" customWidth="1"/>
    <col min="10773" max="10775" width="4.7109375" style="1" customWidth="1"/>
    <col min="10776" max="10776" width="11.7109375" style="1" customWidth="1"/>
    <col min="10777" max="10778" width="7" style="1" customWidth="1"/>
    <col min="10779" max="10779" width="6.42578125" style="1" customWidth="1"/>
    <col min="10780" max="10780" width="15" style="1" customWidth="1"/>
    <col min="10781" max="10781" width="5.28515625" style="1" customWidth="1"/>
    <col min="10782" max="10784" width="4.7109375" style="1" customWidth="1"/>
    <col min="10785" max="10785" width="11.7109375" style="1" customWidth="1"/>
    <col min="10786" max="10786" width="10" style="1" customWidth="1"/>
    <col min="10787" max="10787" width="7.42578125" style="1" customWidth="1"/>
    <col min="10788" max="10788" width="7.140625" style="1" customWidth="1"/>
    <col min="10789" max="10789" width="6.42578125" style="1" customWidth="1"/>
    <col min="10790" max="11020" width="8.7109375" style="1"/>
    <col min="11021" max="11021" width="3.7109375" style="1" customWidth="1"/>
    <col min="11022" max="11022" width="4.28515625" style="1" customWidth="1"/>
    <col min="11023" max="11023" width="11.28515625" style="1" customWidth="1"/>
    <col min="11024" max="11024" width="13.42578125" style="1" customWidth="1"/>
    <col min="11025" max="11027" width="5.42578125" style="1" customWidth="1"/>
    <col min="11028" max="11028" width="8.28515625" style="1" customWidth="1"/>
    <col min="11029" max="11031" width="4.7109375" style="1" customWidth="1"/>
    <col min="11032" max="11032" width="11.7109375" style="1" customWidth="1"/>
    <col min="11033" max="11034" width="7" style="1" customWidth="1"/>
    <col min="11035" max="11035" width="6.42578125" style="1" customWidth="1"/>
    <col min="11036" max="11036" width="15" style="1" customWidth="1"/>
    <col min="11037" max="11037" width="5.28515625" style="1" customWidth="1"/>
    <col min="11038" max="11040" width="4.7109375" style="1" customWidth="1"/>
    <col min="11041" max="11041" width="11.7109375" style="1" customWidth="1"/>
    <col min="11042" max="11042" width="10" style="1" customWidth="1"/>
    <col min="11043" max="11043" width="7.42578125" style="1" customWidth="1"/>
    <col min="11044" max="11044" width="7.140625" style="1" customWidth="1"/>
    <col min="11045" max="11045" width="6.42578125" style="1" customWidth="1"/>
    <col min="11046" max="11276" width="8.7109375" style="1"/>
    <col min="11277" max="11277" width="3.7109375" style="1" customWidth="1"/>
    <col min="11278" max="11278" width="4.28515625" style="1" customWidth="1"/>
    <col min="11279" max="11279" width="11.28515625" style="1" customWidth="1"/>
    <col min="11280" max="11280" width="13.42578125" style="1" customWidth="1"/>
    <col min="11281" max="11283" width="5.42578125" style="1" customWidth="1"/>
    <col min="11284" max="11284" width="8.28515625" style="1" customWidth="1"/>
    <col min="11285" max="11287" width="4.7109375" style="1" customWidth="1"/>
    <col min="11288" max="11288" width="11.7109375" style="1" customWidth="1"/>
    <col min="11289" max="11290" width="7" style="1" customWidth="1"/>
    <col min="11291" max="11291" width="6.42578125" style="1" customWidth="1"/>
    <col min="11292" max="11292" width="15" style="1" customWidth="1"/>
    <col min="11293" max="11293" width="5.28515625" style="1" customWidth="1"/>
    <col min="11294" max="11296" width="4.7109375" style="1" customWidth="1"/>
    <col min="11297" max="11297" width="11.7109375" style="1" customWidth="1"/>
    <col min="11298" max="11298" width="10" style="1" customWidth="1"/>
    <col min="11299" max="11299" width="7.42578125" style="1" customWidth="1"/>
    <col min="11300" max="11300" width="7.140625" style="1" customWidth="1"/>
    <col min="11301" max="11301" width="6.42578125" style="1" customWidth="1"/>
    <col min="11302" max="11532" width="8.7109375" style="1"/>
    <col min="11533" max="11533" width="3.7109375" style="1" customWidth="1"/>
    <col min="11534" max="11534" width="4.28515625" style="1" customWidth="1"/>
    <col min="11535" max="11535" width="11.28515625" style="1" customWidth="1"/>
    <col min="11536" max="11536" width="13.42578125" style="1" customWidth="1"/>
    <col min="11537" max="11539" width="5.42578125" style="1" customWidth="1"/>
    <col min="11540" max="11540" width="8.28515625" style="1" customWidth="1"/>
    <col min="11541" max="11543" width="4.7109375" style="1" customWidth="1"/>
    <col min="11544" max="11544" width="11.7109375" style="1" customWidth="1"/>
    <col min="11545" max="11546" width="7" style="1" customWidth="1"/>
    <col min="11547" max="11547" width="6.42578125" style="1" customWidth="1"/>
    <col min="11548" max="11548" width="15" style="1" customWidth="1"/>
    <col min="11549" max="11549" width="5.28515625" style="1" customWidth="1"/>
    <col min="11550" max="11552" width="4.7109375" style="1" customWidth="1"/>
    <col min="11553" max="11553" width="11.7109375" style="1" customWidth="1"/>
    <col min="11554" max="11554" width="10" style="1" customWidth="1"/>
    <col min="11555" max="11555" width="7.42578125" style="1" customWidth="1"/>
    <col min="11556" max="11556" width="7.140625" style="1" customWidth="1"/>
    <col min="11557" max="11557" width="6.42578125" style="1" customWidth="1"/>
    <col min="11558" max="11788" width="8.7109375" style="1"/>
    <col min="11789" max="11789" width="3.7109375" style="1" customWidth="1"/>
    <col min="11790" max="11790" width="4.28515625" style="1" customWidth="1"/>
    <col min="11791" max="11791" width="11.28515625" style="1" customWidth="1"/>
    <col min="11792" max="11792" width="13.42578125" style="1" customWidth="1"/>
    <col min="11793" max="11795" width="5.42578125" style="1" customWidth="1"/>
    <col min="11796" max="11796" width="8.28515625" style="1" customWidth="1"/>
    <col min="11797" max="11799" width="4.7109375" style="1" customWidth="1"/>
    <col min="11800" max="11800" width="11.7109375" style="1" customWidth="1"/>
    <col min="11801" max="11802" width="7" style="1" customWidth="1"/>
    <col min="11803" max="11803" width="6.42578125" style="1" customWidth="1"/>
    <col min="11804" max="11804" width="15" style="1" customWidth="1"/>
    <col min="11805" max="11805" width="5.28515625" style="1" customWidth="1"/>
    <col min="11806" max="11808" width="4.7109375" style="1" customWidth="1"/>
    <col min="11809" max="11809" width="11.7109375" style="1" customWidth="1"/>
    <col min="11810" max="11810" width="10" style="1" customWidth="1"/>
    <col min="11811" max="11811" width="7.42578125" style="1" customWidth="1"/>
    <col min="11812" max="11812" width="7.140625" style="1" customWidth="1"/>
    <col min="11813" max="11813" width="6.42578125" style="1" customWidth="1"/>
    <col min="11814" max="12044" width="8.7109375" style="1"/>
    <col min="12045" max="12045" width="3.7109375" style="1" customWidth="1"/>
    <col min="12046" max="12046" width="4.28515625" style="1" customWidth="1"/>
    <col min="12047" max="12047" width="11.28515625" style="1" customWidth="1"/>
    <col min="12048" max="12048" width="13.42578125" style="1" customWidth="1"/>
    <col min="12049" max="12051" width="5.42578125" style="1" customWidth="1"/>
    <col min="12052" max="12052" width="8.28515625" style="1" customWidth="1"/>
    <col min="12053" max="12055" width="4.7109375" style="1" customWidth="1"/>
    <col min="12056" max="12056" width="11.7109375" style="1" customWidth="1"/>
    <col min="12057" max="12058" width="7" style="1" customWidth="1"/>
    <col min="12059" max="12059" width="6.42578125" style="1" customWidth="1"/>
    <col min="12060" max="12060" width="15" style="1" customWidth="1"/>
    <col min="12061" max="12061" width="5.28515625" style="1" customWidth="1"/>
    <col min="12062" max="12064" width="4.7109375" style="1" customWidth="1"/>
    <col min="12065" max="12065" width="11.7109375" style="1" customWidth="1"/>
    <col min="12066" max="12066" width="10" style="1" customWidth="1"/>
    <col min="12067" max="12067" width="7.42578125" style="1" customWidth="1"/>
    <col min="12068" max="12068" width="7.140625" style="1" customWidth="1"/>
    <col min="12069" max="12069" width="6.42578125" style="1" customWidth="1"/>
    <col min="12070" max="12300" width="8.7109375" style="1"/>
    <col min="12301" max="12301" width="3.7109375" style="1" customWidth="1"/>
    <col min="12302" max="12302" width="4.28515625" style="1" customWidth="1"/>
    <col min="12303" max="12303" width="11.28515625" style="1" customWidth="1"/>
    <col min="12304" max="12304" width="13.42578125" style="1" customWidth="1"/>
    <col min="12305" max="12307" width="5.42578125" style="1" customWidth="1"/>
    <col min="12308" max="12308" width="8.28515625" style="1" customWidth="1"/>
    <col min="12309" max="12311" width="4.7109375" style="1" customWidth="1"/>
    <col min="12312" max="12312" width="11.7109375" style="1" customWidth="1"/>
    <col min="12313" max="12314" width="7" style="1" customWidth="1"/>
    <col min="12315" max="12315" width="6.42578125" style="1" customWidth="1"/>
    <col min="12316" max="12316" width="15" style="1" customWidth="1"/>
    <col min="12317" max="12317" width="5.28515625" style="1" customWidth="1"/>
    <col min="12318" max="12320" width="4.7109375" style="1" customWidth="1"/>
    <col min="12321" max="12321" width="11.7109375" style="1" customWidth="1"/>
    <col min="12322" max="12322" width="10" style="1" customWidth="1"/>
    <col min="12323" max="12323" width="7.42578125" style="1" customWidth="1"/>
    <col min="12324" max="12324" width="7.140625" style="1" customWidth="1"/>
    <col min="12325" max="12325" width="6.42578125" style="1" customWidth="1"/>
    <col min="12326" max="12556" width="8.7109375" style="1"/>
    <col min="12557" max="12557" width="3.7109375" style="1" customWidth="1"/>
    <col min="12558" max="12558" width="4.28515625" style="1" customWidth="1"/>
    <col min="12559" max="12559" width="11.28515625" style="1" customWidth="1"/>
    <col min="12560" max="12560" width="13.42578125" style="1" customWidth="1"/>
    <col min="12561" max="12563" width="5.42578125" style="1" customWidth="1"/>
    <col min="12564" max="12564" width="8.28515625" style="1" customWidth="1"/>
    <col min="12565" max="12567" width="4.7109375" style="1" customWidth="1"/>
    <col min="12568" max="12568" width="11.7109375" style="1" customWidth="1"/>
    <col min="12569" max="12570" width="7" style="1" customWidth="1"/>
    <col min="12571" max="12571" width="6.42578125" style="1" customWidth="1"/>
    <col min="12572" max="12572" width="15" style="1" customWidth="1"/>
    <col min="12573" max="12573" width="5.28515625" style="1" customWidth="1"/>
    <col min="12574" max="12576" width="4.7109375" style="1" customWidth="1"/>
    <col min="12577" max="12577" width="11.7109375" style="1" customWidth="1"/>
    <col min="12578" max="12578" width="10" style="1" customWidth="1"/>
    <col min="12579" max="12579" width="7.42578125" style="1" customWidth="1"/>
    <col min="12580" max="12580" width="7.140625" style="1" customWidth="1"/>
    <col min="12581" max="12581" width="6.42578125" style="1" customWidth="1"/>
    <col min="12582" max="12812" width="8.7109375" style="1"/>
    <col min="12813" max="12813" width="3.7109375" style="1" customWidth="1"/>
    <col min="12814" max="12814" width="4.28515625" style="1" customWidth="1"/>
    <col min="12815" max="12815" width="11.28515625" style="1" customWidth="1"/>
    <col min="12816" max="12816" width="13.42578125" style="1" customWidth="1"/>
    <col min="12817" max="12819" width="5.42578125" style="1" customWidth="1"/>
    <col min="12820" max="12820" width="8.28515625" style="1" customWidth="1"/>
    <col min="12821" max="12823" width="4.7109375" style="1" customWidth="1"/>
    <col min="12824" max="12824" width="11.7109375" style="1" customWidth="1"/>
    <col min="12825" max="12826" width="7" style="1" customWidth="1"/>
    <col min="12827" max="12827" width="6.42578125" style="1" customWidth="1"/>
    <col min="12828" max="12828" width="15" style="1" customWidth="1"/>
    <col min="12829" max="12829" width="5.28515625" style="1" customWidth="1"/>
    <col min="12830" max="12832" width="4.7109375" style="1" customWidth="1"/>
    <col min="12833" max="12833" width="11.7109375" style="1" customWidth="1"/>
    <col min="12834" max="12834" width="10" style="1" customWidth="1"/>
    <col min="12835" max="12835" width="7.42578125" style="1" customWidth="1"/>
    <col min="12836" max="12836" width="7.140625" style="1" customWidth="1"/>
    <col min="12837" max="12837" width="6.42578125" style="1" customWidth="1"/>
    <col min="12838" max="13068" width="8.7109375" style="1"/>
    <col min="13069" max="13069" width="3.7109375" style="1" customWidth="1"/>
    <col min="13070" max="13070" width="4.28515625" style="1" customWidth="1"/>
    <col min="13071" max="13071" width="11.28515625" style="1" customWidth="1"/>
    <col min="13072" max="13072" width="13.42578125" style="1" customWidth="1"/>
    <col min="13073" max="13075" width="5.42578125" style="1" customWidth="1"/>
    <col min="13076" max="13076" width="8.28515625" style="1" customWidth="1"/>
    <col min="13077" max="13079" width="4.7109375" style="1" customWidth="1"/>
    <col min="13080" max="13080" width="11.7109375" style="1" customWidth="1"/>
    <col min="13081" max="13082" width="7" style="1" customWidth="1"/>
    <col min="13083" max="13083" width="6.42578125" style="1" customWidth="1"/>
    <col min="13084" max="13084" width="15" style="1" customWidth="1"/>
    <col min="13085" max="13085" width="5.28515625" style="1" customWidth="1"/>
    <col min="13086" max="13088" width="4.7109375" style="1" customWidth="1"/>
    <col min="13089" max="13089" width="11.7109375" style="1" customWidth="1"/>
    <col min="13090" max="13090" width="10" style="1" customWidth="1"/>
    <col min="13091" max="13091" width="7.42578125" style="1" customWidth="1"/>
    <col min="13092" max="13092" width="7.140625" style="1" customWidth="1"/>
    <col min="13093" max="13093" width="6.42578125" style="1" customWidth="1"/>
    <col min="13094" max="13324" width="8.7109375" style="1"/>
    <col min="13325" max="13325" width="3.7109375" style="1" customWidth="1"/>
    <col min="13326" max="13326" width="4.28515625" style="1" customWidth="1"/>
    <col min="13327" max="13327" width="11.28515625" style="1" customWidth="1"/>
    <col min="13328" max="13328" width="13.42578125" style="1" customWidth="1"/>
    <col min="13329" max="13331" width="5.42578125" style="1" customWidth="1"/>
    <col min="13332" max="13332" width="8.28515625" style="1" customWidth="1"/>
    <col min="13333" max="13335" width="4.7109375" style="1" customWidth="1"/>
    <col min="13336" max="13336" width="11.7109375" style="1" customWidth="1"/>
    <col min="13337" max="13338" width="7" style="1" customWidth="1"/>
    <col min="13339" max="13339" width="6.42578125" style="1" customWidth="1"/>
    <col min="13340" max="13340" width="15" style="1" customWidth="1"/>
    <col min="13341" max="13341" width="5.28515625" style="1" customWidth="1"/>
    <col min="13342" max="13344" width="4.7109375" style="1" customWidth="1"/>
    <col min="13345" max="13345" width="11.7109375" style="1" customWidth="1"/>
    <col min="13346" max="13346" width="10" style="1" customWidth="1"/>
    <col min="13347" max="13347" width="7.42578125" style="1" customWidth="1"/>
    <col min="13348" max="13348" width="7.140625" style="1" customWidth="1"/>
    <col min="13349" max="13349" width="6.42578125" style="1" customWidth="1"/>
    <col min="13350" max="13580" width="8.7109375" style="1"/>
    <col min="13581" max="13581" width="3.7109375" style="1" customWidth="1"/>
    <col min="13582" max="13582" width="4.28515625" style="1" customWidth="1"/>
    <col min="13583" max="13583" width="11.28515625" style="1" customWidth="1"/>
    <col min="13584" max="13584" width="13.42578125" style="1" customWidth="1"/>
    <col min="13585" max="13587" width="5.42578125" style="1" customWidth="1"/>
    <col min="13588" max="13588" width="8.28515625" style="1" customWidth="1"/>
    <col min="13589" max="13591" width="4.7109375" style="1" customWidth="1"/>
    <col min="13592" max="13592" width="11.7109375" style="1" customWidth="1"/>
    <col min="13593" max="13594" width="7" style="1" customWidth="1"/>
    <col min="13595" max="13595" width="6.42578125" style="1" customWidth="1"/>
    <col min="13596" max="13596" width="15" style="1" customWidth="1"/>
    <col min="13597" max="13597" width="5.28515625" style="1" customWidth="1"/>
    <col min="13598" max="13600" width="4.7109375" style="1" customWidth="1"/>
    <col min="13601" max="13601" width="11.7109375" style="1" customWidth="1"/>
    <col min="13602" max="13602" width="10" style="1" customWidth="1"/>
    <col min="13603" max="13603" width="7.42578125" style="1" customWidth="1"/>
    <col min="13604" max="13604" width="7.140625" style="1" customWidth="1"/>
    <col min="13605" max="13605" width="6.42578125" style="1" customWidth="1"/>
    <col min="13606" max="13836" width="8.7109375" style="1"/>
    <col min="13837" max="13837" width="3.7109375" style="1" customWidth="1"/>
    <col min="13838" max="13838" width="4.28515625" style="1" customWidth="1"/>
    <col min="13839" max="13839" width="11.28515625" style="1" customWidth="1"/>
    <col min="13840" max="13840" width="13.42578125" style="1" customWidth="1"/>
    <col min="13841" max="13843" width="5.42578125" style="1" customWidth="1"/>
    <col min="13844" max="13844" width="8.28515625" style="1" customWidth="1"/>
    <col min="13845" max="13847" width="4.7109375" style="1" customWidth="1"/>
    <col min="13848" max="13848" width="11.7109375" style="1" customWidth="1"/>
    <col min="13849" max="13850" width="7" style="1" customWidth="1"/>
    <col min="13851" max="13851" width="6.42578125" style="1" customWidth="1"/>
    <col min="13852" max="13852" width="15" style="1" customWidth="1"/>
    <col min="13853" max="13853" width="5.28515625" style="1" customWidth="1"/>
    <col min="13854" max="13856" width="4.7109375" style="1" customWidth="1"/>
    <col min="13857" max="13857" width="11.7109375" style="1" customWidth="1"/>
    <col min="13858" max="13858" width="10" style="1" customWidth="1"/>
    <col min="13859" max="13859" width="7.42578125" style="1" customWidth="1"/>
    <col min="13860" max="13860" width="7.140625" style="1" customWidth="1"/>
    <col min="13861" max="13861" width="6.42578125" style="1" customWidth="1"/>
    <col min="13862" max="14092" width="8.7109375" style="1"/>
    <col min="14093" max="14093" width="3.7109375" style="1" customWidth="1"/>
    <col min="14094" max="14094" width="4.28515625" style="1" customWidth="1"/>
    <col min="14095" max="14095" width="11.28515625" style="1" customWidth="1"/>
    <col min="14096" max="14096" width="13.42578125" style="1" customWidth="1"/>
    <col min="14097" max="14099" width="5.42578125" style="1" customWidth="1"/>
    <col min="14100" max="14100" width="8.28515625" style="1" customWidth="1"/>
    <col min="14101" max="14103" width="4.7109375" style="1" customWidth="1"/>
    <col min="14104" max="14104" width="11.7109375" style="1" customWidth="1"/>
    <col min="14105" max="14106" width="7" style="1" customWidth="1"/>
    <col min="14107" max="14107" width="6.42578125" style="1" customWidth="1"/>
    <col min="14108" max="14108" width="15" style="1" customWidth="1"/>
    <col min="14109" max="14109" width="5.28515625" style="1" customWidth="1"/>
    <col min="14110" max="14112" width="4.7109375" style="1" customWidth="1"/>
    <col min="14113" max="14113" width="11.7109375" style="1" customWidth="1"/>
    <col min="14114" max="14114" width="10" style="1" customWidth="1"/>
    <col min="14115" max="14115" width="7.42578125" style="1" customWidth="1"/>
    <col min="14116" max="14116" width="7.140625" style="1" customWidth="1"/>
    <col min="14117" max="14117" width="6.42578125" style="1" customWidth="1"/>
    <col min="14118" max="14348" width="8.7109375" style="1"/>
    <col min="14349" max="14349" width="3.7109375" style="1" customWidth="1"/>
    <col min="14350" max="14350" width="4.28515625" style="1" customWidth="1"/>
    <col min="14351" max="14351" width="11.28515625" style="1" customWidth="1"/>
    <col min="14352" max="14352" width="13.42578125" style="1" customWidth="1"/>
    <col min="14353" max="14355" width="5.42578125" style="1" customWidth="1"/>
    <col min="14356" max="14356" width="8.28515625" style="1" customWidth="1"/>
    <col min="14357" max="14359" width="4.7109375" style="1" customWidth="1"/>
    <col min="14360" max="14360" width="11.7109375" style="1" customWidth="1"/>
    <col min="14361" max="14362" width="7" style="1" customWidth="1"/>
    <col min="14363" max="14363" width="6.42578125" style="1" customWidth="1"/>
    <col min="14364" max="14364" width="15" style="1" customWidth="1"/>
    <col min="14365" max="14365" width="5.28515625" style="1" customWidth="1"/>
    <col min="14366" max="14368" width="4.7109375" style="1" customWidth="1"/>
    <col min="14369" max="14369" width="11.7109375" style="1" customWidth="1"/>
    <col min="14370" max="14370" width="10" style="1" customWidth="1"/>
    <col min="14371" max="14371" width="7.42578125" style="1" customWidth="1"/>
    <col min="14372" max="14372" width="7.140625" style="1" customWidth="1"/>
    <col min="14373" max="14373" width="6.42578125" style="1" customWidth="1"/>
    <col min="14374" max="14604" width="8.7109375" style="1"/>
    <col min="14605" max="14605" width="3.7109375" style="1" customWidth="1"/>
    <col min="14606" max="14606" width="4.28515625" style="1" customWidth="1"/>
    <col min="14607" max="14607" width="11.28515625" style="1" customWidth="1"/>
    <col min="14608" max="14608" width="13.42578125" style="1" customWidth="1"/>
    <col min="14609" max="14611" width="5.42578125" style="1" customWidth="1"/>
    <col min="14612" max="14612" width="8.28515625" style="1" customWidth="1"/>
    <col min="14613" max="14615" width="4.7109375" style="1" customWidth="1"/>
    <col min="14616" max="14616" width="11.7109375" style="1" customWidth="1"/>
    <col min="14617" max="14618" width="7" style="1" customWidth="1"/>
    <col min="14619" max="14619" width="6.42578125" style="1" customWidth="1"/>
    <col min="14620" max="14620" width="15" style="1" customWidth="1"/>
    <col min="14621" max="14621" width="5.28515625" style="1" customWidth="1"/>
    <col min="14622" max="14624" width="4.7109375" style="1" customWidth="1"/>
    <col min="14625" max="14625" width="11.7109375" style="1" customWidth="1"/>
    <col min="14626" max="14626" width="10" style="1" customWidth="1"/>
    <col min="14627" max="14627" width="7.42578125" style="1" customWidth="1"/>
    <col min="14628" max="14628" width="7.140625" style="1" customWidth="1"/>
    <col min="14629" max="14629" width="6.42578125" style="1" customWidth="1"/>
    <col min="14630" max="14860" width="8.7109375" style="1"/>
    <col min="14861" max="14861" width="3.7109375" style="1" customWidth="1"/>
    <col min="14862" max="14862" width="4.28515625" style="1" customWidth="1"/>
    <col min="14863" max="14863" width="11.28515625" style="1" customWidth="1"/>
    <col min="14864" max="14864" width="13.42578125" style="1" customWidth="1"/>
    <col min="14865" max="14867" width="5.42578125" style="1" customWidth="1"/>
    <col min="14868" max="14868" width="8.28515625" style="1" customWidth="1"/>
    <col min="14869" max="14871" width="4.7109375" style="1" customWidth="1"/>
    <col min="14872" max="14872" width="11.7109375" style="1" customWidth="1"/>
    <col min="14873" max="14874" width="7" style="1" customWidth="1"/>
    <col min="14875" max="14875" width="6.42578125" style="1" customWidth="1"/>
    <col min="14876" max="14876" width="15" style="1" customWidth="1"/>
    <col min="14877" max="14877" width="5.28515625" style="1" customWidth="1"/>
    <col min="14878" max="14880" width="4.7109375" style="1" customWidth="1"/>
    <col min="14881" max="14881" width="11.7109375" style="1" customWidth="1"/>
    <col min="14882" max="14882" width="10" style="1" customWidth="1"/>
    <col min="14883" max="14883" width="7.42578125" style="1" customWidth="1"/>
    <col min="14884" max="14884" width="7.140625" style="1" customWidth="1"/>
    <col min="14885" max="14885" width="6.42578125" style="1" customWidth="1"/>
    <col min="14886" max="15116" width="8.7109375" style="1"/>
    <col min="15117" max="15117" width="3.7109375" style="1" customWidth="1"/>
    <col min="15118" max="15118" width="4.28515625" style="1" customWidth="1"/>
    <col min="15119" max="15119" width="11.28515625" style="1" customWidth="1"/>
    <col min="15120" max="15120" width="13.42578125" style="1" customWidth="1"/>
    <col min="15121" max="15123" width="5.42578125" style="1" customWidth="1"/>
    <col min="15124" max="15124" width="8.28515625" style="1" customWidth="1"/>
    <col min="15125" max="15127" width="4.7109375" style="1" customWidth="1"/>
    <col min="15128" max="15128" width="11.7109375" style="1" customWidth="1"/>
    <col min="15129" max="15130" width="7" style="1" customWidth="1"/>
    <col min="15131" max="15131" width="6.42578125" style="1" customWidth="1"/>
    <col min="15132" max="15132" width="15" style="1" customWidth="1"/>
    <col min="15133" max="15133" width="5.28515625" style="1" customWidth="1"/>
    <col min="15134" max="15136" width="4.7109375" style="1" customWidth="1"/>
    <col min="15137" max="15137" width="11.7109375" style="1" customWidth="1"/>
    <col min="15138" max="15138" width="10" style="1" customWidth="1"/>
    <col min="15139" max="15139" width="7.42578125" style="1" customWidth="1"/>
    <col min="15140" max="15140" width="7.140625" style="1" customWidth="1"/>
    <col min="15141" max="15141" width="6.42578125" style="1" customWidth="1"/>
    <col min="15142" max="15372" width="8.7109375" style="1"/>
    <col min="15373" max="15373" width="3.7109375" style="1" customWidth="1"/>
    <col min="15374" max="15374" width="4.28515625" style="1" customWidth="1"/>
    <col min="15375" max="15375" width="11.28515625" style="1" customWidth="1"/>
    <col min="15376" max="15376" width="13.42578125" style="1" customWidth="1"/>
    <col min="15377" max="15379" width="5.42578125" style="1" customWidth="1"/>
    <col min="15380" max="15380" width="8.28515625" style="1" customWidth="1"/>
    <col min="15381" max="15383" width="4.7109375" style="1" customWidth="1"/>
    <col min="15384" max="15384" width="11.7109375" style="1" customWidth="1"/>
    <col min="15385" max="15386" width="7" style="1" customWidth="1"/>
    <col min="15387" max="15387" width="6.42578125" style="1" customWidth="1"/>
    <col min="15388" max="15388" width="15" style="1" customWidth="1"/>
    <col min="15389" max="15389" width="5.28515625" style="1" customWidth="1"/>
    <col min="15390" max="15392" width="4.7109375" style="1" customWidth="1"/>
    <col min="15393" max="15393" width="11.7109375" style="1" customWidth="1"/>
    <col min="15394" max="15394" width="10" style="1" customWidth="1"/>
    <col min="15395" max="15395" width="7.42578125" style="1" customWidth="1"/>
    <col min="15396" max="15396" width="7.140625" style="1" customWidth="1"/>
    <col min="15397" max="15397" width="6.42578125" style="1" customWidth="1"/>
    <col min="15398" max="15628" width="8.7109375" style="1"/>
    <col min="15629" max="15629" width="3.7109375" style="1" customWidth="1"/>
    <col min="15630" max="15630" width="4.28515625" style="1" customWidth="1"/>
    <col min="15631" max="15631" width="11.28515625" style="1" customWidth="1"/>
    <col min="15632" max="15632" width="13.42578125" style="1" customWidth="1"/>
    <col min="15633" max="15635" width="5.42578125" style="1" customWidth="1"/>
    <col min="15636" max="15636" width="8.28515625" style="1" customWidth="1"/>
    <col min="15637" max="15639" width="4.7109375" style="1" customWidth="1"/>
    <col min="15640" max="15640" width="11.7109375" style="1" customWidth="1"/>
    <col min="15641" max="15642" width="7" style="1" customWidth="1"/>
    <col min="15643" max="15643" width="6.42578125" style="1" customWidth="1"/>
    <col min="15644" max="15644" width="15" style="1" customWidth="1"/>
    <col min="15645" max="15645" width="5.28515625" style="1" customWidth="1"/>
    <col min="15646" max="15648" width="4.7109375" style="1" customWidth="1"/>
    <col min="15649" max="15649" width="11.7109375" style="1" customWidth="1"/>
    <col min="15650" max="15650" width="10" style="1" customWidth="1"/>
    <col min="15651" max="15651" width="7.42578125" style="1" customWidth="1"/>
    <col min="15652" max="15652" width="7.140625" style="1" customWidth="1"/>
    <col min="15653" max="15653" width="6.42578125" style="1" customWidth="1"/>
    <col min="15654" max="15884" width="8.7109375" style="1"/>
    <col min="15885" max="15885" width="3.7109375" style="1" customWidth="1"/>
    <col min="15886" max="15886" width="4.28515625" style="1" customWidth="1"/>
    <col min="15887" max="15887" width="11.28515625" style="1" customWidth="1"/>
    <col min="15888" max="15888" width="13.42578125" style="1" customWidth="1"/>
    <col min="15889" max="15891" width="5.42578125" style="1" customWidth="1"/>
    <col min="15892" max="15892" width="8.28515625" style="1" customWidth="1"/>
    <col min="15893" max="15895" width="4.7109375" style="1" customWidth="1"/>
    <col min="15896" max="15896" width="11.7109375" style="1" customWidth="1"/>
    <col min="15897" max="15898" width="7" style="1" customWidth="1"/>
    <col min="15899" max="15899" width="6.42578125" style="1" customWidth="1"/>
    <col min="15900" max="15900" width="15" style="1" customWidth="1"/>
    <col min="15901" max="15901" width="5.28515625" style="1" customWidth="1"/>
    <col min="15902" max="15904" width="4.7109375" style="1" customWidth="1"/>
    <col min="15905" max="15905" width="11.7109375" style="1" customWidth="1"/>
    <col min="15906" max="15906" width="10" style="1" customWidth="1"/>
    <col min="15907" max="15907" width="7.42578125" style="1" customWidth="1"/>
    <col min="15908" max="15908" width="7.140625" style="1" customWidth="1"/>
    <col min="15909" max="15909" width="6.42578125" style="1" customWidth="1"/>
    <col min="15910" max="16140" width="8.7109375" style="1"/>
    <col min="16141" max="16141" width="3.7109375" style="1" customWidth="1"/>
    <col min="16142" max="16142" width="4.28515625" style="1" customWidth="1"/>
    <col min="16143" max="16143" width="11.28515625" style="1" customWidth="1"/>
    <col min="16144" max="16144" width="13.42578125" style="1" customWidth="1"/>
    <col min="16145" max="16147" width="5.42578125" style="1" customWidth="1"/>
    <col min="16148" max="16148" width="8.28515625" style="1" customWidth="1"/>
    <col min="16149" max="16151" width="4.7109375" style="1" customWidth="1"/>
    <col min="16152" max="16152" width="11.7109375" style="1" customWidth="1"/>
    <col min="16153" max="16154" width="7" style="1" customWidth="1"/>
    <col min="16155" max="16155" width="6.42578125" style="1" customWidth="1"/>
    <col min="16156" max="16156" width="15" style="1" customWidth="1"/>
    <col min="16157" max="16157" width="5.28515625" style="1" customWidth="1"/>
    <col min="16158" max="16160" width="4.7109375" style="1" customWidth="1"/>
    <col min="16161" max="16161" width="11.7109375" style="1" customWidth="1"/>
    <col min="16162" max="16162" width="10" style="1" customWidth="1"/>
    <col min="16163" max="16163" width="7.42578125" style="1" customWidth="1"/>
    <col min="16164" max="16164" width="7.140625" style="1" customWidth="1"/>
    <col min="16165" max="16165" width="6.42578125" style="1" customWidth="1"/>
    <col min="16166" max="16384" width="8.7109375" style="1"/>
  </cols>
  <sheetData>
    <row r="1" spans="2:39" x14ac:dyDescent="0.25">
      <c r="B1" s="1" t="s">
        <v>0</v>
      </c>
      <c r="F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K1" s="2" t="s">
        <v>1</v>
      </c>
    </row>
    <row r="2" spans="2:39" ht="15" customHeight="1" x14ac:dyDescent="0.25">
      <c r="B2" s="1" t="s">
        <v>42</v>
      </c>
      <c r="F2" s="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K2" s="1" t="s">
        <v>2</v>
      </c>
    </row>
    <row r="3" spans="2:39" ht="15" customHeight="1" x14ac:dyDescent="0.25">
      <c r="B3" s="1" t="s">
        <v>95</v>
      </c>
      <c r="F3" s="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K3" s="4" t="s">
        <v>3</v>
      </c>
    </row>
    <row r="4" spans="2:39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spans="2:39" ht="17.25" customHeight="1" x14ac:dyDescent="0.25">
      <c r="B5" s="44" t="s">
        <v>105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2:39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2:39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2:39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2:39" ht="39.7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  <c r="V9" s="64" t="s">
        <v>12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  <c r="AL9" s="9" t="s">
        <v>13</v>
      </c>
      <c r="AM9" s="46" t="s">
        <v>14</v>
      </c>
    </row>
    <row r="10" spans="2:39" s="11" customFormat="1" ht="23.25" customHeight="1" x14ac:dyDescent="0.25">
      <c r="B10" s="60"/>
      <c r="C10" s="60"/>
      <c r="D10" s="60"/>
      <c r="E10" s="60"/>
      <c r="F10" s="49" t="s">
        <v>15</v>
      </c>
      <c r="G10" s="67" t="s">
        <v>15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 t="s">
        <v>15</v>
      </c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49" t="s">
        <v>16</v>
      </c>
      <c r="AM10" s="47"/>
    </row>
    <row r="11" spans="2:39" s="12" customFormat="1" ht="73.150000000000006" customHeight="1" x14ac:dyDescent="0.25">
      <c r="B11" s="60"/>
      <c r="C11" s="60"/>
      <c r="D11" s="60"/>
      <c r="E11" s="60"/>
      <c r="F11" s="50"/>
      <c r="G11" s="10" t="s">
        <v>69</v>
      </c>
      <c r="H11" s="10" t="s">
        <v>70</v>
      </c>
      <c r="I11" s="10" t="s">
        <v>71</v>
      </c>
      <c r="J11" s="10" t="s">
        <v>73</v>
      </c>
      <c r="K11" s="10" t="s">
        <v>75</v>
      </c>
      <c r="L11" s="10" t="s">
        <v>77</v>
      </c>
      <c r="M11" s="10" t="s">
        <v>78</v>
      </c>
      <c r="N11" s="10" t="s">
        <v>79</v>
      </c>
      <c r="O11" s="10" t="s">
        <v>81</v>
      </c>
      <c r="P11" s="10" t="s">
        <v>82</v>
      </c>
      <c r="Q11" s="10" t="s">
        <v>84</v>
      </c>
      <c r="R11" s="10" t="s">
        <v>85</v>
      </c>
      <c r="S11" s="10" t="s">
        <v>86</v>
      </c>
      <c r="T11" s="10" t="s">
        <v>88</v>
      </c>
      <c r="U11" s="10" t="s">
        <v>17</v>
      </c>
      <c r="V11" s="10" t="s">
        <v>69</v>
      </c>
      <c r="W11" s="10" t="s">
        <v>72</v>
      </c>
      <c r="X11" s="10" t="s">
        <v>73</v>
      </c>
      <c r="Y11" s="10" t="s">
        <v>74</v>
      </c>
      <c r="Z11" s="10" t="s">
        <v>76</v>
      </c>
      <c r="AA11" s="10" t="s">
        <v>77</v>
      </c>
      <c r="AB11" s="10" t="s">
        <v>79</v>
      </c>
      <c r="AC11" s="10" t="s">
        <v>80</v>
      </c>
      <c r="AD11" s="10" t="s">
        <v>81</v>
      </c>
      <c r="AE11" s="10" t="s">
        <v>83</v>
      </c>
      <c r="AF11" s="10" t="s">
        <v>85</v>
      </c>
      <c r="AG11" s="10" t="s">
        <v>86</v>
      </c>
      <c r="AH11" s="10" t="s">
        <v>87</v>
      </c>
      <c r="AI11" s="10" t="s">
        <v>88</v>
      </c>
      <c r="AJ11" s="10" t="s">
        <v>91</v>
      </c>
      <c r="AK11" s="8" t="s">
        <v>18</v>
      </c>
      <c r="AL11" s="50"/>
      <c r="AM11" s="48"/>
    </row>
    <row r="12" spans="2:39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52</v>
      </c>
      <c r="P12" s="14" t="s">
        <v>53</v>
      </c>
      <c r="Q12" s="14" t="s">
        <v>54</v>
      </c>
      <c r="R12" s="14" t="s">
        <v>55</v>
      </c>
      <c r="S12" s="14" t="s">
        <v>89</v>
      </c>
      <c r="T12" s="14" t="s">
        <v>90</v>
      </c>
      <c r="U12" s="14" t="s">
        <v>26</v>
      </c>
      <c r="V12" s="14" t="s">
        <v>27</v>
      </c>
      <c r="W12" s="14" t="s">
        <v>28</v>
      </c>
      <c r="X12" s="14" t="s">
        <v>56</v>
      </c>
      <c r="Y12" s="14" t="s">
        <v>57</v>
      </c>
      <c r="Z12" s="14" t="s">
        <v>58</v>
      </c>
      <c r="AA12" s="14" t="s">
        <v>59</v>
      </c>
      <c r="AB12" s="14" t="s">
        <v>60</v>
      </c>
      <c r="AC12" s="14" t="s">
        <v>61</v>
      </c>
      <c r="AD12" s="14" t="s">
        <v>62</v>
      </c>
      <c r="AE12" s="14" t="s">
        <v>63</v>
      </c>
      <c r="AF12" s="14" t="s">
        <v>64</v>
      </c>
      <c r="AG12" s="14" t="s">
        <v>65</v>
      </c>
      <c r="AH12" s="14" t="s">
        <v>66</v>
      </c>
      <c r="AI12" s="14" t="s">
        <v>67</v>
      </c>
      <c r="AJ12" s="26" t="s">
        <v>68</v>
      </c>
      <c r="AK12" s="14" t="s">
        <v>29</v>
      </c>
      <c r="AL12" s="13" t="s">
        <v>30</v>
      </c>
      <c r="AM12" s="13" t="s">
        <v>31</v>
      </c>
    </row>
    <row r="13" spans="2:39" s="22" customFormat="1" ht="74.25" customHeight="1" x14ac:dyDescent="0.25">
      <c r="B13" s="15">
        <v>1</v>
      </c>
      <c r="C13" s="24" t="s">
        <v>44</v>
      </c>
      <c r="D13" s="16"/>
      <c r="E13" s="16" t="s">
        <v>45</v>
      </c>
      <c r="F13" s="16" t="e">
        <f>'T09'!AL13</f>
        <v>#VALUE!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5">
        <f>SUM(G13:T13)</f>
        <v>0</v>
      </c>
      <c r="V13" s="16"/>
      <c r="W13" s="16"/>
      <c r="X13" s="16"/>
      <c r="Y13" s="23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3"/>
      <c r="AK13" s="25">
        <f>SUM(V13:AJ13)</f>
        <v>0</v>
      </c>
      <c r="AL13" s="25" t="e">
        <f>F13+U13-AK13</f>
        <v>#VALUE!</v>
      </c>
      <c r="AM13" s="23" t="s">
        <v>93</v>
      </c>
    </row>
    <row r="14" spans="2:39" ht="24" customHeight="1" x14ac:dyDescent="0.25">
      <c r="B14" s="15" t="s">
        <v>32</v>
      </c>
      <c r="C14" s="15"/>
      <c r="D14" s="15"/>
      <c r="E14" s="15"/>
      <c r="F14" s="8" t="e">
        <f>F13</f>
        <v>#VALUE!</v>
      </c>
      <c r="G14" s="8">
        <f t="shared" ref="G14:AL14" si="0">G13</f>
        <v>0</v>
      </c>
      <c r="H14" s="8">
        <f t="shared" si="0"/>
        <v>0</v>
      </c>
      <c r="I14" s="8">
        <f t="shared" si="0"/>
        <v>0</v>
      </c>
      <c r="J14" s="8">
        <f t="shared" si="0"/>
        <v>0</v>
      </c>
      <c r="K14" s="8">
        <f t="shared" si="0"/>
        <v>0</v>
      </c>
      <c r="L14" s="8">
        <f t="shared" si="0"/>
        <v>0</v>
      </c>
      <c r="M14" s="8">
        <f t="shared" si="0"/>
        <v>0</v>
      </c>
      <c r="N14" s="8">
        <f t="shared" si="0"/>
        <v>0</v>
      </c>
      <c r="O14" s="8">
        <f t="shared" si="0"/>
        <v>0</v>
      </c>
      <c r="P14" s="8">
        <f t="shared" si="0"/>
        <v>0</v>
      </c>
      <c r="Q14" s="8">
        <f t="shared" si="0"/>
        <v>0</v>
      </c>
      <c r="R14" s="8">
        <f t="shared" si="0"/>
        <v>0</v>
      </c>
      <c r="S14" s="8">
        <f t="shared" si="0"/>
        <v>0</v>
      </c>
      <c r="T14" s="8">
        <f t="shared" si="0"/>
        <v>0</v>
      </c>
      <c r="U14" s="8">
        <f t="shared" si="0"/>
        <v>0</v>
      </c>
      <c r="V14" s="8">
        <f t="shared" si="0"/>
        <v>0</v>
      </c>
      <c r="W14" s="8">
        <f t="shared" si="0"/>
        <v>0</v>
      </c>
      <c r="X14" s="8">
        <f t="shared" si="0"/>
        <v>0</v>
      </c>
      <c r="Y14" s="8">
        <f t="shared" si="0"/>
        <v>0</v>
      </c>
      <c r="Z14" s="8">
        <f t="shared" si="0"/>
        <v>0</v>
      </c>
      <c r="AA14" s="8">
        <f t="shared" si="0"/>
        <v>0</v>
      </c>
      <c r="AB14" s="8">
        <f t="shared" si="0"/>
        <v>0</v>
      </c>
      <c r="AC14" s="8">
        <f t="shared" si="0"/>
        <v>0</v>
      </c>
      <c r="AD14" s="8">
        <f t="shared" si="0"/>
        <v>0</v>
      </c>
      <c r="AE14" s="8">
        <f t="shared" si="0"/>
        <v>0</v>
      </c>
      <c r="AF14" s="8">
        <f t="shared" si="0"/>
        <v>0</v>
      </c>
      <c r="AG14" s="8">
        <f t="shared" si="0"/>
        <v>0</v>
      </c>
      <c r="AH14" s="8">
        <f t="shared" si="0"/>
        <v>0</v>
      </c>
      <c r="AI14" s="8">
        <f t="shared" si="0"/>
        <v>0</v>
      </c>
      <c r="AJ14" s="8">
        <f t="shared" si="0"/>
        <v>0</v>
      </c>
      <c r="AK14" s="8">
        <f t="shared" si="0"/>
        <v>0</v>
      </c>
      <c r="AL14" s="8" t="e">
        <f t="shared" si="0"/>
        <v>#VALUE!</v>
      </c>
      <c r="AM14" s="27"/>
    </row>
    <row r="15" spans="2:39" ht="24" customHeight="1" x14ac:dyDescent="0.25">
      <c r="B15" s="17"/>
      <c r="C15" s="17"/>
      <c r="D15" s="17"/>
      <c r="E15" s="17"/>
      <c r="F15" s="18" t="s">
        <v>96</v>
      </c>
      <c r="U15" s="57" t="s">
        <v>33</v>
      </c>
      <c r="V15" s="57"/>
      <c r="W15" s="57"/>
      <c r="X15" s="57"/>
      <c r="Y15" s="57"/>
      <c r="Z15" s="57"/>
      <c r="AA15" s="57"/>
      <c r="AB15" s="57"/>
      <c r="AC15" s="57"/>
      <c r="AD15" s="5"/>
      <c r="AE15" s="5"/>
      <c r="AF15" s="5"/>
      <c r="AG15" s="5"/>
      <c r="AH15" s="5"/>
      <c r="AI15" s="5"/>
      <c r="AJ15" s="19"/>
      <c r="AK15" s="19"/>
    </row>
    <row r="16" spans="2:39" ht="24" customHeight="1" x14ac:dyDescent="0.25">
      <c r="B16" s="17"/>
      <c r="C16" s="17"/>
      <c r="D16" s="17"/>
      <c r="E16" s="17"/>
      <c r="F16" s="18"/>
      <c r="U16" s="44"/>
      <c r="V16" s="44"/>
      <c r="W16" s="44"/>
      <c r="X16" s="44"/>
      <c r="Y16" s="44"/>
      <c r="Z16" s="44"/>
      <c r="AA16" s="44"/>
      <c r="AB16" s="44"/>
      <c r="AC16" s="44"/>
      <c r="AD16" s="5"/>
      <c r="AE16" s="5"/>
      <c r="AF16" s="5"/>
      <c r="AG16" s="5"/>
      <c r="AH16" s="5"/>
      <c r="AI16" s="5"/>
      <c r="AJ16" s="19"/>
      <c r="AK16" s="19"/>
    </row>
    <row r="17" spans="2:38" ht="24" customHeight="1" x14ac:dyDescent="0.25">
      <c r="B17" s="17"/>
      <c r="C17" s="17"/>
      <c r="D17" s="17"/>
      <c r="E17" s="17"/>
    </row>
    <row r="18" spans="2:38" ht="24" customHeight="1" x14ac:dyDescent="0.25">
      <c r="B18" s="17"/>
      <c r="C18" s="17"/>
      <c r="D18" s="17"/>
      <c r="E18" s="17"/>
    </row>
    <row r="19" spans="2:38" ht="24" customHeight="1" x14ac:dyDescent="0.25">
      <c r="B19" s="17"/>
      <c r="C19" s="17"/>
      <c r="D19" s="17"/>
      <c r="E19" s="17"/>
      <c r="F19" s="19" t="s">
        <v>94</v>
      </c>
    </row>
    <row r="20" spans="2:38" ht="24" customHeight="1" x14ac:dyDescent="0.3">
      <c r="B20" s="17"/>
      <c r="C20" s="17"/>
      <c r="D20" s="17"/>
      <c r="E20" s="17"/>
      <c r="F20" s="21"/>
      <c r="U20" s="45" t="s">
        <v>92</v>
      </c>
      <c r="V20" s="45"/>
      <c r="W20" s="45"/>
      <c r="X20" s="45"/>
      <c r="Y20" s="45"/>
      <c r="Z20" s="45"/>
      <c r="AA20" s="45"/>
      <c r="AB20" s="45"/>
      <c r="AC20" s="45"/>
    </row>
    <row r="21" spans="2:38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2:38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spans="2:38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spans="2:38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spans="2:38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 spans="2:38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spans="2:38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spans="2:38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</row>
  </sheetData>
  <mergeCells count="23">
    <mergeCell ref="U15:AC15"/>
    <mergeCell ref="B4:AL4"/>
    <mergeCell ref="B5:AL5"/>
    <mergeCell ref="B9:B11"/>
    <mergeCell ref="C9:C11"/>
    <mergeCell ref="D9:D11"/>
    <mergeCell ref="E9:E11"/>
    <mergeCell ref="G9:U9"/>
    <mergeCell ref="V9:AK9"/>
    <mergeCell ref="AM9:AM11"/>
    <mergeCell ref="F10:F11"/>
    <mergeCell ref="G10:T10"/>
    <mergeCell ref="U10:AK10"/>
    <mergeCell ref="AL10:AL11"/>
    <mergeCell ref="B26:AJ26"/>
    <mergeCell ref="B27:AJ27"/>
    <mergeCell ref="B28:AK28"/>
    <mergeCell ref="U16:AC16"/>
    <mergeCell ref="U20:AC20"/>
    <mergeCell ref="B22:AL22"/>
    <mergeCell ref="B23:AL23"/>
    <mergeCell ref="B24:AL24"/>
    <mergeCell ref="B25:AL25"/>
  </mergeCells>
  <pageMargins left="0.7" right="0.7" top="0.75" bottom="0.75" header="0.3" footer="0.3"/>
  <pageSetup paperSize="9" scale="3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8CB5-875F-46E1-A293-031C1C1AEF8A}">
  <sheetPr codeName="Sheet11">
    <pageSetUpPr fitToPage="1"/>
  </sheetPr>
  <dimension ref="B1:AM28"/>
  <sheetViews>
    <sheetView zoomScale="66" zoomScaleNormal="66" workbookViewId="0">
      <selection activeCell="F14" sqref="F14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7.7109375" style="1" customWidth="1"/>
    <col min="4" max="4" width="16.28515625" style="1" customWidth="1"/>
    <col min="5" max="5" width="13.42578125" style="1" customWidth="1"/>
    <col min="6" max="6" width="16.7109375" style="1" customWidth="1"/>
    <col min="7" max="20" width="8.7109375" style="3" customWidth="1"/>
    <col min="21" max="21" width="10.7109375" style="3" customWidth="1"/>
    <col min="22" max="35" width="8.42578125" style="3" customWidth="1"/>
    <col min="36" max="36" width="8.42578125" style="1" customWidth="1"/>
    <col min="37" max="37" width="17.140625" style="1" customWidth="1"/>
    <col min="38" max="38" width="21" style="1" customWidth="1"/>
    <col min="39" max="39" width="20.7109375" style="1" customWidth="1"/>
    <col min="40" max="268" width="8.7109375" style="1"/>
    <col min="269" max="269" width="3.7109375" style="1" customWidth="1"/>
    <col min="270" max="270" width="4.28515625" style="1" customWidth="1"/>
    <col min="271" max="271" width="11.28515625" style="1" customWidth="1"/>
    <col min="272" max="272" width="13.42578125" style="1" customWidth="1"/>
    <col min="273" max="275" width="5.42578125" style="1" customWidth="1"/>
    <col min="276" max="276" width="8.28515625" style="1" customWidth="1"/>
    <col min="277" max="279" width="4.7109375" style="1" customWidth="1"/>
    <col min="280" max="280" width="11.7109375" style="1" customWidth="1"/>
    <col min="281" max="282" width="7" style="1" customWidth="1"/>
    <col min="283" max="283" width="6.42578125" style="1" customWidth="1"/>
    <col min="284" max="284" width="15" style="1" customWidth="1"/>
    <col min="285" max="285" width="5.28515625" style="1" customWidth="1"/>
    <col min="286" max="288" width="4.7109375" style="1" customWidth="1"/>
    <col min="289" max="289" width="11.7109375" style="1" customWidth="1"/>
    <col min="290" max="290" width="10" style="1" customWidth="1"/>
    <col min="291" max="291" width="7.42578125" style="1" customWidth="1"/>
    <col min="292" max="292" width="7.140625" style="1" customWidth="1"/>
    <col min="293" max="293" width="6.42578125" style="1" customWidth="1"/>
    <col min="294" max="524" width="8.7109375" style="1"/>
    <col min="525" max="525" width="3.7109375" style="1" customWidth="1"/>
    <col min="526" max="526" width="4.28515625" style="1" customWidth="1"/>
    <col min="527" max="527" width="11.28515625" style="1" customWidth="1"/>
    <col min="528" max="528" width="13.42578125" style="1" customWidth="1"/>
    <col min="529" max="531" width="5.42578125" style="1" customWidth="1"/>
    <col min="532" max="532" width="8.28515625" style="1" customWidth="1"/>
    <col min="533" max="535" width="4.7109375" style="1" customWidth="1"/>
    <col min="536" max="536" width="11.7109375" style="1" customWidth="1"/>
    <col min="537" max="538" width="7" style="1" customWidth="1"/>
    <col min="539" max="539" width="6.42578125" style="1" customWidth="1"/>
    <col min="540" max="540" width="15" style="1" customWidth="1"/>
    <col min="541" max="541" width="5.28515625" style="1" customWidth="1"/>
    <col min="542" max="544" width="4.7109375" style="1" customWidth="1"/>
    <col min="545" max="545" width="11.7109375" style="1" customWidth="1"/>
    <col min="546" max="546" width="10" style="1" customWidth="1"/>
    <col min="547" max="547" width="7.42578125" style="1" customWidth="1"/>
    <col min="548" max="548" width="7.140625" style="1" customWidth="1"/>
    <col min="549" max="549" width="6.42578125" style="1" customWidth="1"/>
    <col min="550" max="780" width="8.7109375" style="1"/>
    <col min="781" max="781" width="3.7109375" style="1" customWidth="1"/>
    <col min="782" max="782" width="4.28515625" style="1" customWidth="1"/>
    <col min="783" max="783" width="11.28515625" style="1" customWidth="1"/>
    <col min="784" max="784" width="13.42578125" style="1" customWidth="1"/>
    <col min="785" max="787" width="5.42578125" style="1" customWidth="1"/>
    <col min="788" max="788" width="8.28515625" style="1" customWidth="1"/>
    <col min="789" max="791" width="4.7109375" style="1" customWidth="1"/>
    <col min="792" max="792" width="11.7109375" style="1" customWidth="1"/>
    <col min="793" max="794" width="7" style="1" customWidth="1"/>
    <col min="795" max="795" width="6.42578125" style="1" customWidth="1"/>
    <col min="796" max="796" width="15" style="1" customWidth="1"/>
    <col min="797" max="797" width="5.28515625" style="1" customWidth="1"/>
    <col min="798" max="800" width="4.7109375" style="1" customWidth="1"/>
    <col min="801" max="801" width="11.7109375" style="1" customWidth="1"/>
    <col min="802" max="802" width="10" style="1" customWidth="1"/>
    <col min="803" max="803" width="7.42578125" style="1" customWidth="1"/>
    <col min="804" max="804" width="7.140625" style="1" customWidth="1"/>
    <col min="805" max="805" width="6.42578125" style="1" customWidth="1"/>
    <col min="806" max="1036" width="8.7109375" style="1"/>
    <col min="1037" max="1037" width="3.7109375" style="1" customWidth="1"/>
    <col min="1038" max="1038" width="4.28515625" style="1" customWidth="1"/>
    <col min="1039" max="1039" width="11.28515625" style="1" customWidth="1"/>
    <col min="1040" max="1040" width="13.42578125" style="1" customWidth="1"/>
    <col min="1041" max="1043" width="5.42578125" style="1" customWidth="1"/>
    <col min="1044" max="1044" width="8.28515625" style="1" customWidth="1"/>
    <col min="1045" max="1047" width="4.7109375" style="1" customWidth="1"/>
    <col min="1048" max="1048" width="11.7109375" style="1" customWidth="1"/>
    <col min="1049" max="1050" width="7" style="1" customWidth="1"/>
    <col min="1051" max="1051" width="6.42578125" style="1" customWidth="1"/>
    <col min="1052" max="1052" width="15" style="1" customWidth="1"/>
    <col min="1053" max="1053" width="5.28515625" style="1" customWidth="1"/>
    <col min="1054" max="1056" width="4.7109375" style="1" customWidth="1"/>
    <col min="1057" max="1057" width="11.7109375" style="1" customWidth="1"/>
    <col min="1058" max="1058" width="10" style="1" customWidth="1"/>
    <col min="1059" max="1059" width="7.42578125" style="1" customWidth="1"/>
    <col min="1060" max="1060" width="7.140625" style="1" customWidth="1"/>
    <col min="1061" max="1061" width="6.42578125" style="1" customWidth="1"/>
    <col min="1062" max="1292" width="8.7109375" style="1"/>
    <col min="1293" max="1293" width="3.7109375" style="1" customWidth="1"/>
    <col min="1294" max="1294" width="4.28515625" style="1" customWidth="1"/>
    <col min="1295" max="1295" width="11.28515625" style="1" customWidth="1"/>
    <col min="1296" max="1296" width="13.42578125" style="1" customWidth="1"/>
    <col min="1297" max="1299" width="5.42578125" style="1" customWidth="1"/>
    <col min="1300" max="1300" width="8.28515625" style="1" customWidth="1"/>
    <col min="1301" max="1303" width="4.7109375" style="1" customWidth="1"/>
    <col min="1304" max="1304" width="11.7109375" style="1" customWidth="1"/>
    <col min="1305" max="1306" width="7" style="1" customWidth="1"/>
    <col min="1307" max="1307" width="6.42578125" style="1" customWidth="1"/>
    <col min="1308" max="1308" width="15" style="1" customWidth="1"/>
    <col min="1309" max="1309" width="5.28515625" style="1" customWidth="1"/>
    <col min="1310" max="1312" width="4.7109375" style="1" customWidth="1"/>
    <col min="1313" max="1313" width="11.7109375" style="1" customWidth="1"/>
    <col min="1314" max="1314" width="10" style="1" customWidth="1"/>
    <col min="1315" max="1315" width="7.42578125" style="1" customWidth="1"/>
    <col min="1316" max="1316" width="7.140625" style="1" customWidth="1"/>
    <col min="1317" max="1317" width="6.42578125" style="1" customWidth="1"/>
    <col min="1318" max="1548" width="8.7109375" style="1"/>
    <col min="1549" max="1549" width="3.7109375" style="1" customWidth="1"/>
    <col min="1550" max="1550" width="4.28515625" style="1" customWidth="1"/>
    <col min="1551" max="1551" width="11.28515625" style="1" customWidth="1"/>
    <col min="1552" max="1552" width="13.42578125" style="1" customWidth="1"/>
    <col min="1553" max="1555" width="5.42578125" style="1" customWidth="1"/>
    <col min="1556" max="1556" width="8.28515625" style="1" customWidth="1"/>
    <col min="1557" max="1559" width="4.7109375" style="1" customWidth="1"/>
    <col min="1560" max="1560" width="11.7109375" style="1" customWidth="1"/>
    <col min="1561" max="1562" width="7" style="1" customWidth="1"/>
    <col min="1563" max="1563" width="6.42578125" style="1" customWidth="1"/>
    <col min="1564" max="1564" width="15" style="1" customWidth="1"/>
    <col min="1565" max="1565" width="5.28515625" style="1" customWidth="1"/>
    <col min="1566" max="1568" width="4.7109375" style="1" customWidth="1"/>
    <col min="1569" max="1569" width="11.7109375" style="1" customWidth="1"/>
    <col min="1570" max="1570" width="10" style="1" customWidth="1"/>
    <col min="1571" max="1571" width="7.42578125" style="1" customWidth="1"/>
    <col min="1572" max="1572" width="7.140625" style="1" customWidth="1"/>
    <col min="1573" max="1573" width="6.42578125" style="1" customWidth="1"/>
    <col min="1574" max="1804" width="8.7109375" style="1"/>
    <col min="1805" max="1805" width="3.7109375" style="1" customWidth="1"/>
    <col min="1806" max="1806" width="4.28515625" style="1" customWidth="1"/>
    <col min="1807" max="1807" width="11.28515625" style="1" customWidth="1"/>
    <col min="1808" max="1808" width="13.42578125" style="1" customWidth="1"/>
    <col min="1809" max="1811" width="5.42578125" style="1" customWidth="1"/>
    <col min="1812" max="1812" width="8.28515625" style="1" customWidth="1"/>
    <col min="1813" max="1815" width="4.7109375" style="1" customWidth="1"/>
    <col min="1816" max="1816" width="11.7109375" style="1" customWidth="1"/>
    <col min="1817" max="1818" width="7" style="1" customWidth="1"/>
    <col min="1819" max="1819" width="6.42578125" style="1" customWidth="1"/>
    <col min="1820" max="1820" width="15" style="1" customWidth="1"/>
    <col min="1821" max="1821" width="5.28515625" style="1" customWidth="1"/>
    <col min="1822" max="1824" width="4.7109375" style="1" customWidth="1"/>
    <col min="1825" max="1825" width="11.7109375" style="1" customWidth="1"/>
    <col min="1826" max="1826" width="10" style="1" customWidth="1"/>
    <col min="1827" max="1827" width="7.42578125" style="1" customWidth="1"/>
    <col min="1828" max="1828" width="7.140625" style="1" customWidth="1"/>
    <col min="1829" max="1829" width="6.42578125" style="1" customWidth="1"/>
    <col min="1830" max="2060" width="8.7109375" style="1"/>
    <col min="2061" max="2061" width="3.7109375" style="1" customWidth="1"/>
    <col min="2062" max="2062" width="4.28515625" style="1" customWidth="1"/>
    <col min="2063" max="2063" width="11.28515625" style="1" customWidth="1"/>
    <col min="2064" max="2064" width="13.42578125" style="1" customWidth="1"/>
    <col min="2065" max="2067" width="5.42578125" style="1" customWidth="1"/>
    <col min="2068" max="2068" width="8.28515625" style="1" customWidth="1"/>
    <col min="2069" max="2071" width="4.7109375" style="1" customWidth="1"/>
    <col min="2072" max="2072" width="11.7109375" style="1" customWidth="1"/>
    <col min="2073" max="2074" width="7" style="1" customWidth="1"/>
    <col min="2075" max="2075" width="6.42578125" style="1" customWidth="1"/>
    <col min="2076" max="2076" width="15" style="1" customWidth="1"/>
    <col min="2077" max="2077" width="5.28515625" style="1" customWidth="1"/>
    <col min="2078" max="2080" width="4.7109375" style="1" customWidth="1"/>
    <col min="2081" max="2081" width="11.7109375" style="1" customWidth="1"/>
    <col min="2082" max="2082" width="10" style="1" customWidth="1"/>
    <col min="2083" max="2083" width="7.42578125" style="1" customWidth="1"/>
    <col min="2084" max="2084" width="7.140625" style="1" customWidth="1"/>
    <col min="2085" max="2085" width="6.42578125" style="1" customWidth="1"/>
    <col min="2086" max="2316" width="8.7109375" style="1"/>
    <col min="2317" max="2317" width="3.7109375" style="1" customWidth="1"/>
    <col min="2318" max="2318" width="4.28515625" style="1" customWidth="1"/>
    <col min="2319" max="2319" width="11.28515625" style="1" customWidth="1"/>
    <col min="2320" max="2320" width="13.42578125" style="1" customWidth="1"/>
    <col min="2321" max="2323" width="5.42578125" style="1" customWidth="1"/>
    <col min="2324" max="2324" width="8.28515625" style="1" customWidth="1"/>
    <col min="2325" max="2327" width="4.7109375" style="1" customWidth="1"/>
    <col min="2328" max="2328" width="11.7109375" style="1" customWidth="1"/>
    <col min="2329" max="2330" width="7" style="1" customWidth="1"/>
    <col min="2331" max="2331" width="6.42578125" style="1" customWidth="1"/>
    <col min="2332" max="2332" width="15" style="1" customWidth="1"/>
    <col min="2333" max="2333" width="5.28515625" style="1" customWidth="1"/>
    <col min="2334" max="2336" width="4.7109375" style="1" customWidth="1"/>
    <col min="2337" max="2337" width="11.7109375" style="1" customWidth="1"/>
    <col min="2338" max="2338" width="10" style="1" customWidth="1"/>
    <col min="2339" max="2339" width="7.42578125" style="1" customWidth="1"/>
    <col min="2340" max="2340" width="7.140625" style="1" customWidth="1"/>
    <col min="2341" max="2341" width="6.42578125" style="1" customWidth="1"/>
    <col min="2342" max="2572" width="8.7109375" style="1"/>
    <col min="2573" max="2573" width="3.7109375" style="1" customWidth="1"/>
    <col min="2574" max="2574" width="4.28515625" style="1" customWidth="1"/>
    <col min="2575" max="2575" width="11.28515625" style="1" customWidth="1"/>
    <col min="2576" max="2576" width="13.42578125" style="1" customWidth="1"/>
    <col min="2577" max="2579" width="5.42578125" style="1" customWidth="1"/>
    <col min="2580" max="2580" width="8.28515625" style="1" customWidth="1"/>
    <col min="2581" max="2583" width="4.7109375" style="1" customWidth="1"/>
    <col min="2584" max="2584" width="11.7109375" style="1" customWidth="1"/>
    <col min="2585" max="2586" width="7" style="1" customWidth="1"/>
    <col min="2587" max="2587" width="6.42578125" style="1" customWidth="1"/>
    <col min="2588" max="2588" width="15" style="1" customWidth="1"/>
    <col min="2589" max="2589" width="5.28515625" style="1" customWidth="1"/>
    <col min="2590" max="2592" width="4.7109375" style="1" customWidth="1"/>
    <col min="2593" max="2593" width="11.7109375" style="1" customWidth="1"/>
    <col min="2594" max="2594" width="10" style="1" customWidth="1"/>
    <col min="2595" max="2595" width="7.42578125" style="1" customWidth="1"/>
    <col min="2596" max="2596" width="7.140625" style="1" customWidth="1"/>
    <col min="2597" max="2597" width="6.42578125" style="1" customWidth="1"/>
    <col min="2598" max="2828" width="8.7109375" style="1"/>
    <col min="2829" max="2829" width="3.7109375" style="1" customWidth="1"/>
    <col min="2830" max="2830" width="4.28515625" style="1" customWidth="1"/>
    <col min="2831" max="2831" width="11.28515625" style="1" customWidth="1"/>
    <col min="2832" max="2832" width="13.42578125" style="1" customWidth="1"/>
    <col min="2833" max="2835" width="5.42578125" style="1" customWidth="1"/>
    <col min="2836" max="2836" width="8.28515625" style="1" customWidth="1"/>
    <col min="2837" max="2839" width="4.7109375" style="1" customWidth="1"/>
    <col min="2840" max="2840" width="11.7109375" style="1" customWidth="1"/>
    <col min="2841" max="2842" width="7" style="1" customWidth="1"/>
    <col min="2843" max="2843" width="6.42578125" style="1" customWidth="1"/>
    <col min="2844" max="2844" width="15" style="1" customWidth="1"/>
    <col min="2845" max="2845" width="5.28515625" style="1" customWidth="1"/>
    <col min="2846" max="2848" width="4.7109375" style="1" customWidth="1"/>
    <col min="2849" max="2849" width="11.7109375" style="1" customWidth="1"/>
    <col min="2850" max="2850" width="10" style="1" customWidth="1"/>
    <col min="2851" max="2851" width="7.42578125" style="1" customWidth="1"/>
    <col min="2852" max="2852" width="7.140625" style="1" customWidth="1"/>
    <col min="2853" max="2853" width="6.42578125" style="1" customWidth="1"/>
    <col min="2854" max="3084" width="8.7109375" style="1"/>
    <col min="3085" max="3085" width="3.7109375" style="1" customWidth="1"/>
    <col min="3086" max="3086" width="4.28515625" style="1" customWidth="1"/>
    <col min="3087" max="3087" width="11.28515625" style="1" customWidth="1"/>
    <col min="3088" max="3088" width="13.42578125" style="1" customWidth="1"/>
    <col min="3089" max="3091" width="5.42578125" style="1" customWidth="1"/>
    <col min="3092" max="3092" width="8.28515625" style="1" customWidth="1"/>
    <col min="3093" max="3095" width="4.7109375" style="1" customWidth="1"/>
    <col min="3096" max="3096" width="11.7109375" style="1" customWidth="1"/>
    <col min="3097" max="3098" width="7" style="1" customWidth="1"/>
    <col min="3099" max="3099" width="6.42578125" style="1" customWidth="1"/>
    <col min="3100" max="3100" width="15" style="1" customWidth="1"/>
    <col min="3101" max="3101" width="5.28515625" style="1" customWidth="1"/>
    <col min="3102" max="3104" width="4.7109375" style="1" customWidth="1"/>
    <col min="3105" max="3105" width="11.7109375" style="1" customWidth="1"/>
    <col min="3106" max="3106" width="10" style="1" customWidth="1"/>
    <col min="3107" max="3107" width="7.42578125" style="1" customWidth="1"/>
    <col min="3108" max="3108" width="7.140625" style="1" customWidth="1"/>
    <col min="3109" max="3109" width="6.42578125" style="1" customWidth="1"/>
    <col min="3110" max="3340" width="8.7109375" style="1"/>
    <col min="3341" max="3341" width="3.7109375" style="1" customWidth="1"/>
    <col min="3342" max="3342" width="4.28515625" style="1" customWidth="1"/>
    <col min="3343" max="3343" width="11.28515625" style="1" customWidth="1"/>
    <col min="3344" max="3344" width="13.42578125" style="1" customWidth="1"/>
    <col min="3345" max="3347" width="5.42578125" style="1" customWidth="1"/>
    <col min="3348" max="3348" width="8.28515625" style="1" customWidth="1"/>
    <col min="3349" max="3351" width="4.7109375" style="1" customWidth="1"/>
    <col min="3352" max="3352" width="11.7109375" style="1" customWidth="1"/>
    <col min="3353" max="3354" width="7" style="1" customWidth="1"/>
    <col min="3355" max="3355" width="6.42578125" style="1" customWidth="1"/>
    <col min="3356" max="3356" width="15" style="1" customWidth="1"/>
    <col min="3357" max="3357" width="5.28515625" style="1" customWidth="1"/>
    <col min="3358" max="3360" width="4.7109375" style="1" customWidth="1"/>
    <col min="3361" max="3361" width="11.7109375" style="1" customWidth="1"/>
    <col min="3362" max="3362" width="10" style="1" customWidth="1"/>
    <col min="3363" max="3363" width="7.42578125" style="1" customWidth="1"/>
    <col min="3364" max="3364" width="7.140625" style="1" customWidth="1"/>
    <col min="3365" max="3365" width="6.42578125" style="1" customWidth="1"/>
    <col min="3366" max="3596" width="8.7109375" style="1"/>
    <col min="3597" max="3597" width="3.7109375" style="1" customWidth="1"/>
    <col min="3598" max="3598" width="4.28515625" style="1" customWidth="1"/>
    <col min="3599" max="3599" width="11.28515625" style="1" customWidth="1"/>
    <col min="3600" max="3600" width="13.42578125" style="1" customWidth="1"/>
    <col min="3601" max="3603" width="5.42578125" style="1" customWidth="1"/>
    <col min="3604" max="3604" width="8.28515625" style="1" customWidth="1"/>
    <col min="3605" max="3607" width="4.7109375" style="1" customWidth="1"/>
    <col min="3608" max="3608" width="11.7109375" style="1" customWidth="1"/>
    <col min="3609" max="3610" width="7" style="1" customWidth="1"/>
    <col min="3611" max="3611" width="6.42578125" style="1" customWidth="1"/>
    <col min="3612" max="3612" width="15" style="1" customWidth="1"/>
    <col min="3613" max="3613" width="5.28515625" style="1" customWidth="1"/>
    <col min="3614" max="3616" width="4.7109375" style="1" customWidth="1"/>
    <col min="3617" max="3617" width="11.7109375" style="1" customWidth="1"/>
    <col min="3618" max="3618" width="10" style="1" customWidth="1"/>
    <col min="3619" max="3619" width="7.42578125" style="1" customWidth="1"/>
    <col min="3620" max="3620" width="7.140625" style="1" customWidth="1"/>
    <col min="3621" max="3621" width="6.42578125" style="1" customWidth="1"/>
    <col min="3622" max="3852" width="8.7109375" style="1"/>
    <col min="3853" max="3853" width="3.7109375" style="1" customWidth="1"/>
    <col min="3854" max="3854" width="4.28515625" style="1" customWidth="1"/>
    <col min="3855" max="3855" width="11.28515625" style="1" customWidth="1"/>
    <col min="3856" max="3856" width="13.42578125" style="1" customWidth="1"/>
    <col min="3857" max="3859" width="5.42578125" style="1" customWidth="1"/>
    <col min="3860" max="3860" width="8.28515625" style="1" customWidth="1"/>
    <col min="3861" max="3863" width="4.7109375" style="1" customWidth="1"/>
    <col min="3864" max="3864" width="11.7109375" style="1" customWidth="1"/>
    <col min="3865" max="3866" width="7" style="1" customWidth="1"/>
    <col min="3867" max="3867" width="6.42578125" style="1" customWidth="1"/>
    <col min="3868" max="3868" width="15" style="1" customWidth="1"/>
    <col min="3869" max="3869" width="5.28515625" style="1" customWidth="1"/>
    <col min="3870" max="3872" width="4.7109375" style="1" customWidth="1"/>
    <col min="3873" max="3873" width="11.7109375" style="1" customWidth="1"/>
    <col min="3874" max="3874" width="10" style="1" customWidth="1"/>
    <col min="3875" max="3875" width="7.42578125" style="1" customWidth="1"/>
    <col min="3876" max="3876" width="7.140625" style="1" customWidth="1"/>
    <col min="3877" max="3877" width="6.42578125" style="1" customWidth="1"/>
    <col min="3878" max="4108" width="8.7109375" style="1"/>
    <col min="4109" max="4109" width="3.7109375" style="1" customWidth="1"/>
    <col min="4110" max="4110" width="4.28515625" style="1" customWidth="1"/>
    <col min="4111" max="4111" width="11.28515625" style="1" customWidth="1"/>
    <col min="4112" max="4112" width="13.42578125" style="1" customWidth="1"/>
    <col min="4113" max="4115" width="5.42578125" style="1" customWidth="1"/>
    <col min="4116" max="4116" width="8.28515625" style="1" customWidth="1"/>
    <col min="4117" max="4119" width="4.7109375" style="1" customWidth="1"/>
    <col min="4120" max="4120" width="11.7109375" style="1" customWidth="1"/>
    <col min="4121" max="4122" width="7" style="1" customWidth="1"/>
    <col min="4123" max="4123" width="6.42578125" style="1" customWidth="1"/>
    <col min="4124" max="4124" width="15" style="1" customWidth="1"/>
    <col min="4125" max="4125" width="5.28515625" style="1" customWidth="1"/>
    <col min="4126" max="4128" width="4.7109375" style="1" customWidth="1"/>
    <col min="4129" max="4129" width="11.7109375" style="1" customWidth="1"/>
    <col min="4130" max="4130" width="10" style="1" customWidth="1"/>
    <col min="4131" max="4131" width="7.42578125" style="1" customWidth="1"/>
    <col min="4132" max="4132" width="7.140625" style="1" customWidth="1"/>
    <col min="4133" max="4133" width="6.42578125" style="1" customWidth="1"/>
    <col min="4134" max="4364" width="8.7109375" style="1"/>
    <col min="4365" max="4365" width="3.7109375" style="1" customWidth="1"/>
    <col min="4366" max="4366" width="4.28515625" style="1" customWidth="1"/>
    <col min="4367" max="4367" width="11.28515625" style="1" customWidth="1"/>
    <col min="4368" max="4368" width="13.42578125" style="1" customWidth="1"/>
    <col min="4369" max="4371" width="5.42578125" style="1" customWidth="1"/>
    <col min="4372" max="4372" width="8.28515625" style="1" customWidth="1"/>
    <col min="4373" max="4375" width="4.7109375" style="1" customWidth="1"/>
    <col min="4376" max="4376" width="11.7109375" style="1" customWidth="1"/>
    <col min="4377" max="4378" width="7" style="1" customWidth="1"/>
    <col min="4379" max="4379" width="6.42578125" style="1" customWidth="1"/>
    <col min="4380" max="4380" width="15" style="1" customWidth="1"/>
    <col min="4381" max="4381" width="5.28515625" style="1" customWidth="1"/>
    <col min="4382" max="4384" width="4.7109375" style="1" customWidth="1"/>
    <col min="4385" max="4385" width="11.7109375" style="1" customWidth="1"/>
    <col min="4386" max="4386" width="10" style="1" customWidth="1"/>
    <col min="4387" max="4387" width="7.42578125" style="1" customWidth="1"/>
    <col min="4388" max="4388" width="7.140625" style="1" customWidth="1"/>
    <col min="4389" max="4389" width="6.42578125" style="1" customWidth="1"/>
    <col min="4390" max="4620" width="8.7109375" style="1"/>
    <col min="4621" max="4621" width="3.7109375" style="1" customWidth="1"/>
    <col min="4622" max="4622" width="4.28515625" style="1" customWidth="1"/>
    <col min="4623" max="4623" width="11.28515625" style="1" customWidth="1"/>
    <col min="4624" max="4624" width="13.42578125" style="1" customWidth="1"/>
    <col min="4625" max="4627" width="5.42578125" style="1" customWidth="1"/>
    <col min="4628" max="4628" width="8.28515625" style="1" customWidth="1"/>
    <col min="4629" max="4631" width="4.7109375" style="1" customWidth="1"/>
    <col min="4632" max="4632" width="11.7109375" style="1" customWidth="1"/>
    <col min="4633" max="4634" width="7" style="1" customWidth="1"/>
    <col min="4635" max="4635" width="6.42578125" style="1" customWidth="1"/>
    <col min="4636" max="4636" width="15" style="1" customWidth="1"/>
    <col min="4637" max="4637" width="5.28515625" style="1" customWidth="1"/>
    <col min="4638" max="4640" width="4.7109375" style="1" customWidth="1"/>
    <col min="4641" max="4641" width="11.7109375" style="1" customWidth="1"/>
    <col min="4642" max="4642" width="10" style="1" customWidth="1"/>
    <col min="4643" max="4643" width="7.42578125" style="1" customWidth="1"/>
    <col min="4644" max="4644" width="7.140625" style="1" customWidth="1"/>
    <col min="4645" max="4645" width="6.42578125" style="1" customWidth="1"/>
    <col min="4646" max="4876" width="8.7109375" style="1"/>
    <col min="4877" max="4877" width="3.7109375" style="1" customWidth="1"/>
    <col min="4878" max="4878" width="4.28515625" style="1" customWidth="1"/>
    <col min="4879" max="4879" width="11.28515625" style="1" customWidth="1"/>
    <col min="4880" max="4880" width="13.42578125" style="1" customWidth="1"/>
    <col min="4881" max="4883" width="5.42578125" style="1" customWidth="1"/>
    <col min="4884" max="4884" width="8.28515625" style="1" customWidth="1"/>
    <col min="4885" max="4887" width="4.7109375" style="1" customWidth="1"/>
    <col min="4888" max="4888" width="11.7109375" style="1" customWidth="1"/>
    <col min="4889" max="4890" width="7" style="1" customWidth="1"/>
    <col min="4891" max="4891" width="6.42578125" style="1" customWidth="1"/>
    <col min="4892" max="4892" width="15" style="1" customWidth="1"/>
    <col min="4893" max="4893" width="5.28515625" style="1" customWidth="1"/>
    <col min="4894" max="4896" width="4.7109375" style="1" customWidth="1"/>
    <col min="4897" max="4897" width="11.7109375" style="1" customWidth="1"/>
    <col min="4898" max="4898" width="10" style="1" customWidth="1"/>
    <col min="4899" max="4899" width="7.42578125" style="1" customWidth="1"/>
    <col min="4900" max="4900" width="7.140625" style="1" customWidth="1"/>
    <col min="4901" max="4901" width="6.42578125" style="1" customWidth="1"/>
    <col min="4902" max="5132" width="8.7109375" style="1"/>
    <col min="5133" max="5133" width="3.7109375" style="1" customWidth="1"/>
    <col min="5134" max="5134" width="4.28515625" style="1" customWidth="1"/>
    <col min="5135" max="5135" width="11.28515625" style="1" customWidth="1"/>
    <col min="5136" max="5136" width="13.42578125" style="1" customWidth="1"/>
    <col min="5137" max="5139" width="5.42578125" style="1" customWidth="1"/>
    <col min="5140" max="5140" width="8.28515625" style="1" customWidth="1"/>
    <col min="5141" max="5143" width="4.7109375" style="1" customWidth="1"/>
    <col min="5144" max="5144" width="11.7109375" style="1" customWidth="1"/>
    <col min="5145" max="5146" width="7" style="1" customWidth="1"/>
    <col min="5147" max="5147" width="6.42578125" style="1" customWidth="1"/>
    <col min="5148" max="5148" width="15" style="1" customWidth="1"/>
    <col min="5149" max="5149" width="5.28515625" style="1" customWidth="1"/>
    <col min="5150" max="5152" width="4.7109375" style="1" customWidth="1"/>
    <col min="5153" max="5153" width="11.7109375" style="1" customWidth="1"/>
    <col min="5154" max="5154" width="10" style="1" customWidth="1"/>
    <col min="5155" max="5155" width="7.42578125" style="1" customWidth="1"/>
    <col min="5156" max="5156" width="7.140625" style="1" customWidth="1"/>
    <col min="5157" max="5157" width="6.42578125" style="1" customWidth="1"/>
    <col min="5158" max="5388" width="8.7109375" style="1"/>
    <col min="5389" max="5389" width="3.7109375" style="1" customWidth="1"/>
    <col min="5390" max="5390" width="4.28515625" style="1" customWidth="1"/>
    <col min="5391" max="5391" width="11.28515625" style="1" customWidth="1"/>
    <col min="5392" max="5392" width="13.42578125" style="1" customWidth="1"/>
    <col min="5393" max="5395" width="5.42578125" style="1" customWidth="1"/>
    <col min="5396" max="5396" width="8.28515625" style="1" customWidth="1"/>
    <col min="5397" max="5399" width="4.7109375" style="1" customWidth="1"/>
    <col min="5400" max="5400" width="11.7109375" style="1" customWidth="1"/>
    <col min="5401" max="5402" width="7" style="1" customWidth="1"/>
    <col min="5403" max="5403" width="6.42578125" style="1" customWidth="1"/>
    <col min="5404" max="5404" width="15" style="1" customWidth="1"/>
    <col min="5405" max="5405" width="5.28515625" style="1" customWidth="1"/>
    <col min="5406" max="5408" width="4.7109375" style="1" customWidth="1"/>
    <col min="5409" max="5409" width="11.7109375" style="1" customWidth="1"/>
    <col min="5410" max="5410" width="10" style="1" customWidth="1"/>
    <col min="5411" max="5411" width="7.42578125" style="1" customWidth="1"/>
    <col min="5412" max="5412" width="7.140625" style="1" customWidth="1"/>
    <col min="5413" max="5413" width="6.42578125" style="1" customWidth="1"/>
    <col min="5414" max="5644" width="8.7109375" style="1"/>
    <col min="5645" max="5645" width="3.7109375" style="1" customWidth="1"/>
    <col min="5646" max="5646" width="4.28515625" style="1" customWidth="1"/>
    <col min="5647" max="5647" width="11.28515625" style="1" customWidth="1"/>
    <col min="5648" max="5648" width="13.42578125" style="1" customWidth="1"/>
    <col min="5649" max="5651" width="5.42578125" style="1" customWidth="1"/>
    <col min="5652" max="5652" width="8.28515625" style="1" customWidth="1"/>
    <col min="5653" max="5655" width="4.7109375" style="1" customWidth="1"/>
    <col min="5656" max="5656" width="11.7109375" style="1" customWidth="1"/>
    <col min="5657" max="5658" width="7" style="1" customWidth="1"/>
    <col min="5659" max="5659" width="6.42578125" style="1" customWidth="1"/>
    <col min="5660" max="5660" width="15" style="1" customWidth="1"/>
    <col min="5661" max="5661" width="5.28515625" style="1" customWidth="1"/>
    <col min="5662" max="5664" width="4.7109375" style="1" customWidth="1"/>
    <col min="5665" max="5665" width="11.7109375" style="1" customWidth="1"/>
    <col min="5666" max="5666" width="10" style="1" customWidth="1"/>
    <col min="5667" max="5667" width="7.42578125" style="1" customWidth="1"/>
    <col min="5668" max="5668" width="7.140625" style="1" customWidth="1"/>
    <col min="5669" max="5669" width="6.42578125" style="1" customWidth="1"/>
    <col min="5670" max="5900" width="8.7109375" style="1"/>
    <col min="5901" max="5901" width="3.7109375" style="1" customWidth="1"/>
    <col min="5902" max="5902" width="4.28515625" style="1" customWidth="1"/>
    <col min="5903" max="5903" width="11.28515625" style="1" customWidth="1"/>
    <col min="5904" max="5904" width="13.42578125" style="1" customWidth="1"/>
    <col min="5905" max="5907" width="5.42578125" style="1" customWidth="1"/>
    <col min="5908" max="5908" width="8.28515625" style="1" customWidth="1"/>
    <col min="5909" max="5911" width="4.7109375" style="1" customWidth="1"/>
    <col min="5912" max="5912" width="11.7109375" style="1" customWidth="1"/>
    <col min="5913" max="5914" width="7" style="1" customWidth="1"/>
    <col min="5915" max="5915" width="6.42578125" style="1" customWidth="1"/>
    <col min="5916" max="5916" width="15" style="1" customWidth="1"/>
    <col min="5917" max="5917" width="5.28515625" style="1" customWidth="1"/>
    <col min="5918" max="5920" width="4.7109375" style="1" customWidth="1"/>
    <col min="5921" max="5921" width="11.7109375" style="1" customWidth="1"/>
    <col min="5922" max="5922" width="10" style="1" customWidth="1"/>
    <col min="5923" max="5923" width="7.42578125" style="1" customWidth="1"/>
    <col min="5924" max="5924" width="7.140625" style="1" customWidth="1"/>
    <col min="5925" max="5925" width="6.42578125" style="1" customWidth="1"/>
    <col min="5926" max="6156" width="8.7109375" style="1"/>
    <col min="6157" max="6157" width="3.7109375" style="1" customWidth="1"/>
    <col min="6158" max="6158" width="4.28515625" style="1" customWidth="1"/>
    <col min="6159" max="6159" width="11.28515625" style="1" customWidth="1"/>
    <col min="6160" max="6160" width="13.42578125" style="1" customWidth="1"/>
    <col min="6161" max="6163" width="5.42578125" style="1" customWidth="1"/>
    <col min="6164" max="6164" width="8.28515625" style="1" customWidth="1"/>
    <col min="6165" max="6167" width="4.7109375" style="1" customWidth="1"/>
    <col min="6168" max="6168" width="11.7109375" style="1" customWidth="1"/>
    <col min="6169" max="6170" width="7" style="1" customWidth="1"/>
    <col min="6171" max="6171" width="6.42578125" style="1" customWidth="1"/>
    <col min="6172" max="6172" width="15" style="1" customWidth="1"/>
    <col min="6173" max="6173" width="5.28515625" style="1" customWidth="1"/>
    <col min="6174" max="6176" width="4.7109375" style="1" customWidth="1"/>
    <col min="6177" max="6177" width="11.7109375" style="1" customWidth="1"/>
    <col min="6178" max="6178" width="10" style="1" customWidth="1"/>
    <col min="6179" max="6179" width="7.42578125" style="1" customWidth="1"/>
    <col min="6180" max="6180" width="7.140625" style="1" customWidth="1"/>
    <col min="6181" max="6181" width="6.42578125" style="1" customWidth="1"/>
    <col min="6182" max="6412" width="8.7109375" style="1"/>
    <col min="6413" max="6413" width="3.7109375" style="1" customWidth="1"/>
    <col min="6414" max="6414" width="4.28515625" style="1" customWidth="1"/>
    <col min="6415" max="6415" width="11.28515625" style="1" customWidth="1"/>
    <col min="6416" max="6416" width="13.42578125" style="1" customWidth="1"/>
    <col min="6417" max="6419" width="5.42578125" style="1" customWidth="1"/>
    <col min="6420" max="6420" width="8.28515625" style="1" customWidth="1"/>
    <col min="6421" max="6423" width="4.7109375" style="1" customWidth="1"/>
    <col min="6424" max="6424" width="11.7109375" style="1" customWidth="1"/>
    <col min="6425" max="6426" width="7" style="1" customWidth="1"/>
    <col min="6427" max="6427" width="6.42578125" style="1" customWidth="1"/>
    <col min="6428" max="6428" width="15" style="1" customWidth="1"/>
    <col min="6429" max="6429" width="5.28515625" style="1" customWidth="1"/>
    <col min="6430" max="6432" width="4.7109375" style="1" customWidth="1"/>
    <col min="6433" max="6433" width="11.7109375" style="1" customWidth="1"/>
    <col min="6434" max="6434" width="10" style="1" customWidth="1"/>
    <col min="6435" max="6435" width="7.42578125" style="1" customWidth="1"/>
    <col min="6436" max="6436" width="7.140625" style="1" customWidth="1"/>
    <col min="6437" max="6437" width="6.42578125" style="1" customWidth="1"/>
    <col min="6438" max="6668" width="8.7109375" style="1"/>
    <col min="6669" max="6669" width="3.7109375" style="1" customWidth="1"/>
    <col min="6670" max="6670" width="4.28515625" style="1" customWidth="1"/>
    <col min="6671" max="6671" width="11.28515625" style="1" customWidth="1"/>
    <col min="6672" max="6672" width="13.42578125" style="1" customWidth="1"/>
    <col min="6673" max="6675" width="5.42578125" style="1" customWidth="1"/>
    <col min="6676" max="6676" width="8.28515625" style="1" customWidth="1"/>
    <col min="6677" max="6679" width="4.7109375" style="1" customWidth="1"/>
    <col min="6680" max="6680" width="11.7109375" style="1" customWidth="1"/>
    <col min="6681" max="6682" width="7" style="1" customWidth="1"/>
    <col min="6683" max="6683" width="6.42578125" style="1" customWidth="1"/>
    <col min="6684" max="6684" width="15" style="1" customWidth="1"/>
    <col min="6685" max="6685" width="5.28515625" style="1" customWidth="1"/>
    <col min="6686" max="6688" width="4.7109375" style="1" customWidth="1"/>
    <col min="6689" max="6689" width="11.7109375" style="1" customWidth="1"/>
    <col min="6690" max="6690" width="10" style="1" customWidth="1"/>
    <col min="6691" max="6691" width="7.42578125" style="1" customWidth="1"/>
    <col min="6692" max="6692" width="7.140625" style="1" customWidth="1"/>
    <col min="6693" max="6693" width="6.42578125" style="1" customWidth="1"/>
    <col min="6694" max="6924" width="8.7109375" style="1"/>
    <col min="6925" max="6925" width="3.7109375" style="1" customWidth="1"/>
    <col min="6926" max="6926" width="4.28515625" style="1" customWidth="1"/>
    <col min="6927" max="6927" width="11.28515625" style="1" customWidth="1"/>
    <col min="6928" max="6928" width="13.42578125" style="1" customWidth="1"/>
    <col min="6929" max="6931" width="5.42578125" style="1" customWidth="1"/>
    <col min="6932" max="6932" width="8.28515625" style="1" customWidth="1"/>
    <col min="6933" max="6935" width="4.7109375" style="1" customWidth="1"/>
    <col min="6936" max="6936" width="11.7109375" style="1" customWidth="1"/>
    <col min="6937" max="6938" width="7" style="1" customWidth="1"/>
    <col min="6939" max="6939" width="6.42578125" style="1" customWidth="1"/>
    <col min="6940" max="6940" width="15" style="1" customWidth="1"/>
    <col min="6941" max="6941" width="5.28515625" style="1" customWidth="1"/>
    <col min="6942" max="6944" width="4.7109375" style="1" customWidth="1"/>
    <col min="6945" max="6945" width="11.7109375" style="1" customWidth="1"/>
    <col min="6946" max="6946" width="10" style="1" customWidth="1"/>
    <col min="6947" max="6947" width="7.42578125" style="1" customWidth="1"/>
    <col min="6948" max="6948" width="7.140625" style="1" customWidth="1"/>
    <col min="6949" max="6949" width="6.42578125" style="1" customWidth="1"/>
    <col min="6950" max="7180" width="8.7109375" style="1"/>
    <col min="7181" max="7181" width="3.7109375" style="1" customWidth="1"/>
    <col min="7182" max="7182" width="4.28515625" style="1" customWidth="1"/>
    <col min="7183" max="7183" width="11.28515625" style="1" customWidth="1"/>
    <col min="7184" max="7184" width="13.42578125" style="1" customWidth="1"/>
    <col min="7185" max="7187" width="5.42578125" style="1" customWidth="1"/>
    <col min="7188" max="7188" width="8.28515625" style="1" customWidth="1"/>
    <col min="7189" max="7191" width="4.7109375" style="1" customWidth="1"/>
    <col min="7192" max="7192" width="11.7109375" style="1" customWidth="1"/>
    <col min="7193" max="7194" width="7" style="1" customWidth="1"/>
    <col min="7195" max="7195" width="6.42578125" style="1" customWidth="1"/>
    <col min="7196" max="7196" width="15" style="1" customWidth="1"/>
    <col min="7197" max="7197" width="5.28515625" style="1" customWidth="1"/>
    <col min="7198" max="7200" width="4.7109375" style="1" customWidth="1"/>
    <col min="7201" max="7201" width="11.7109375" style="1" customWidth="1"/>
    <col min="7202" max="7202" width="10" style="1" customWidth="1"/>
    <col min="7203" max="7203" width="7.42578125" style="1" customWidth="1"/>
    <col min="7204" max="7204" width="7.140625" style="1" customWidth="1"/>
    <col min="7205" max="7205" width="6.42578125" style="1" customWidth="1"/>
    <col min="7206" max="7436" width="8.7109375" style="1"/>
    <col min="7437" max="7437" width="3.7109375" style="1" customWidth="1"/>
    <col min="7438" max="7438" width="4.28515625" style="1" customWidth="1"/>
    <col min="7439" max="7439" width="11.28515625" style="1" customWidth="1"/>
    <col min="7440" max="7440" width="13.42578125" style="1" customWidth="1"/>
    <col min="7441" max="7443" width="5.42578125" style="1" customWidth="1"/>
    <col min="7444" max="7444" width="8.28515625" style="1" customWidth="1"/>
    <col min="7445" max="7447" width="4.7109375" style="1" customWidth="1"/>
    <col min="7448" max="7448" width="11.7109375" style="1" customWidth="1"/>
    <col min="7449" max="7450" width="7" style="1" customWidth="1"/>
    <col min="7451" max="7451" width="6.42578125" style="1" customWidth="1"/>
    <col min="7452" max="7452" width="15" style="1" customWidth="1"/>
    <col min="7453" max="7453" width="5.28515625" style="1" customWidth="1"/>
    <col min="7454" max="7456" width="4.7109375" style="1" customWidth="1"/>
    <col min="7457" max="7457" width="11.7109375" style="1" customWidth="1"/>
    <col min="7458" max="7458" width="10" style="1" customWidth="1"/>
    <col min="7459" max="7459" width="7.42578125" style="1" customWidth="1"/>
    <col min="7460" max="7460" width="7.140625" style="1" customWidth="1"/>
    <col min="7461" max="7461" width="6.42578125" style="1" customWidth="1"/>
    <col min="7462" max="7692" width="8.7109375" style="1"/>
    <col min="7693" max="7693" width="3.7109375" style="1" customWidth="1"/>
    <col min="7694" max="7694" width="4.28515625" style="1" customWidth="1"/>
    <col min="7695" max="7695" width="11.28515625" style="1" customWidth="1"/>
    <col min="7696" max="7696" width="13.42578125" style="1" customWidth="1"/>
    <col min="7697" max="7699" width="5.42578125" style="1" customWidth="1"/>
    <col min="7700" max="7700" width="8.28515625" style="1" customWidth="1"/>
    <col min="7701" max="7703" width="4.7109375" style="1" customWidth="1"/>
    <col min="7704" max="7704" width="11.7109375" style="1" customWidth="1"/>
    <col min="7705" max="7706" width="7" style="1" customWidth="1"/>
    <col min="7707" max="7707" width="6.42578125" style="1" customWidth="1"/>
    <col min="7708" max="7708" width="15" style="1" customWidth="1"/>
    <col min="7709" max="7709" width="5.28515625" style="1" customWidth="1"/>
    <col min="7710" max="7712" width="4.7109375" style="1" customWidth="1"/>
    <col min="7713" max="7713" width="11.7109375" style="1" customWidth="1"/>
    <col min="7714" max="7714" width="10" style="1" customWidth="1"/>
    <col min="7715" max="7715" width="7.42578125" style="1" customWidth="1"/>
    <col min="7716" max="7716" width="7.140625" style="1" customWidth="1"/>
    <col min="7717" max="7717" width="6.42578125" style="1" customWidth="1"/>
    <col min="7718" max="7948" width="8.7109375" style="1"/>
    <col min="7949" max="7949" width="3.7109375" style="1" customWidth="1"/>
    <col min="7950" max="7950" width="4.28515625" style="1" customWidth="1"/>
    <col min="7951" max="7951" width="11.28515625" style="1" customWidth="1"/>
    <col min="7952" max="7952" width="13.42578125" style="1" customWidth="1"/>
    <col min="7953" max="7955" width="5.42578125" style="1" customWidth="1"/>
    <col min="7956" max="7956" width="8.28515625" style="1" customWidth="1"/>
    <col min="7957" max="7959" width="4.7109375" style="1" customWidth="1"/>
    <col min="7960" max="7960" width="11.7109375" style="1" customWidth="1"/>
    <col min="7961" max="7962" width="7" style="1" customWidth="1"/>
    <col min="7963" max="7963" width="6.42578125" style="1" customWidth="1"/>
    <col min="7964" max="7964" width="15" style="1" customWidth="1"/>
    <col min="7965" max="7965" width="5.28515625" style="1" customWidth="1"/>
    <col min="7966" max="7968" width="4.7109375" style="1" customWidth="1"/>
    <col min="7969" max="7969" width="11.7109375" style="1" customWidth="1"/>
    <col min="7970" max="7970" width="10" style="1" customWidth="1"/>
    <col min="7971" max="7971" width="7.42578125" style="1" customWidth="1"/>
    <col min="7972" max="7972" width="7.140625" style="1" customWidth="1"/>
    <col min="7973" max="7973" width="6.42578125" style="1" customWidth="1"/>
    <col min="7974" max="8204" width="8.7109375" style="1"/>
    <col min="8205" max="8205" width="3.7109375" style="1" customWidth="1"/>
    <col min="8206" max="8206" width="4.28515625" style="1" customWidth="1"/>
    <col min="8207" max="8207" width="11.28515625" style="1" customWidth="1"/>
    <col min="8208" max="8208" width="13.42578125" style="1" customWidth="1"/>
    <col min="8209" max="8211" width="5.42578125" style="1" customWidth="1"/>
    <col min="8212" max="8212" width="8.28515625" style="1" customWidth="1"/>
    <col min="8213" max="8215" width="4.7109375" style="1" customWidth="1"/>
    <col min="8216" max="8216" width="11.7109375" style="1" customWidth="1"/>
    <col min="8217" max="8218" width="7" style="1" customWidth="1"/>
    <col min="8219" max="8219" width="6.42578125" style="1" customWidth="1"/>
    <col min="8220" max="8220" width="15" style="1" customWidth="1"/>
    <col min="8221" max="8221" width="5.28515625" style="1" customWidth="1"/>
    <col min="8222" max="8224" width="4.7109375" style="1" customWidth="1"/>
    <col min="8225" max="8225" width="11.7109375" style="1" customWidth="1"/>
    <col min="8226" max="8226" width="10" style="1" customWidth="1"/>
    <col min="8227" max="8227" width="7.42578125" style="1" customWidth="1"/>
    <col min="8228" max="8228" width="7.140625" style="1" customWidth="1"/>
    <col min="8229" max="8229" width="6.42578125" style="1" customWidth="1"/>
    <col min="8230" max="8460" width="8.7109375" style="1"/>
    <col min="8461" max="8461" width="3.7109375" style="1" customWidth="1"/>
    <col min="8462" max="8462" width="4.28515625" style="1" customWidth="1"/>
    <col min="8463" max="8463" width="11.28515625" style="1" customWidth="1"/>
    <col min="8464" max="8464" width="13.42578125" style="1" customWidth="1"/>
    <col min="8465" max="8467" width="5.42578125" style="1" customWidth="1"/>
    <col min="8468" max="8468" width="8.28515625" style="1" customWidth="1"/>
    <col min="8469" max="8471" width="4.7109375" style="1" customWidth="1"/>
    <col min="8472" max="8472" width="11.7109375" style="1" customWidth="1"/>
    <col min="8473" max="8474" width="7" style="1" customWidth="1"/>
    <col min="8475" max="8475" width="6.42578125" style="1" customWidth="1"/>
    <col min="8476" max="8476" width="15" style="1" customWidth="1"/>
    <col min="8477" max="8477" width="5.28515625" style="1" customWidth="1"/>
    <col min="8478" max="8480" width="4.7109375" style="1" customWidth="1"/>
    <col min="8481" max="8481" width="11.7109375" style="1" customWidth="1"/>
    <col min="8482" max="8482" width="10" style="1" customWidth="1"/>
    <col min="8483" max="8483" width="7.42578125" style="1" customWidth="1"/>
    <col min="8484" max="8484" width="7.140625" style="1" customWidth="1"/>
    <col min="8485" max="8485" width="6.42578125" style="1" customWidth="1"/>
    <col min="8486" max="8716" width="8.7109375" style="1"/>
    <col min="8717" max="8717" width="3.7109375" style="1" customWidth="1"/>
    <col min="8718" max="8718" width="4.28515625" style="1" customWidth="1"/>
    <col min="8719" max="8719" width="11.28515625" style="1" customWidth="1"/>
    <col min="8720" max="8720" width="13.42578125" style="1" customWidth="1"/>
    <col min="8721" max="8723" width="5.42578125" style="1" customWidth="1"/>
    <col min="8724" max="8724" width="8.28515625" style="1" customWidth="1"/>
    <col min="8725" max="8727" width="4.7109375" style="1" customWidth="1"/>
    <col min="8728" max="8728" width="11.7109375" style="1" customWidth="1"/>
    <col min="8729" max="8730" width="7" style="1" customWidth="1"/>
    <col min="8731" max="8731" width="6.42578125" style="1" customWidth="1"/>
    <col min="8732" max="8732" width="15" style="1" customWidth="1"/>
    <col min="8733" max="8733" width="5.28515625" style="1" customWidth="1"/>
    <col min="8734" max="8736" width="4.7109375" style="1" customWidth="1"/>
    <col min="8737" max="8737" width="11.7109375" style="1" customWidth="1"/>
    <col min="8738" max="8738" width="10" style="1" customWidth="1"/>
    <col min="8739" max="8739" width="7.42578125" style="1" customWidth="1"/>
    <col min="8740" max="8740" width="7.140625" style="1" customWidth="1"/>
    <col min="8741" max="8741" width="6.42578125" style="1" customWidth="1"/>
    <col min="8742" max="8972" width="8.7109375" style="1"/>
    <col min="8973" max="8973" width="3.7109375" style="1" customWidth="1"/>
    <col min="8974" max="8974" width="4.28515625" style="1" customWidth="1"/>
    <col min="8975" max="8975" width="11.28515625" style="1" customWidth="1"/>
    <col min="8976" max="8976" width="13.42578125" style="1" customWidth="1"/>
    <col min="8977" max="8979" width="5.42578125" style="1" customWidth="1"/>
    <col min="8980" max="8980" width="8.28515625" style="1" customWidth="1"/>
    <col min="8981" max="8983" width="4.7109375" style="1" customWidth="1"/>
    <col min="8984" max="8984" width="11.7109375" style="1" customWidth="1"/>
    <col min="8985" max="8986" width="7" style="1" customWidth="1"/>
    <col min="8987" max="8987" width="6.42578125" style="1" customWidth="1"/>
    <col min="8988" max="8988" width="15" style="1" customWidth="1"/>
    <col min="8989" max="8989" width="5.28515625" style="1" customWidth="1"/>
    <col min="8990" max="8992" width="4.7109375" style="1" customWidth="1"/>
    <col min="8993" max="8993" width="11.7109375" style="1" customWidth="1"/>
    <col min="8994" max="8994" width="10" style="1" customWidth="1"/>
    <col min="8995" max="8995" width="7.42578125" style="1" customWidth="1"/>
    <col min="8996" max="8996" width="7.140625" style="1" customWidth="1"/>
    <col min="8997" max="8997" width="6.42578125" style="1" customWidth="1"/>
    <col min="8998" max="9228" width="8.7109375" style="1"/>
    <col min="9229" max="9229" width="3.7109375" style="1" customWidth="1"/>
    <col min="9230" max="9230" width="4.28515625" style="1" customWidth="1"/>
    <col min="9231" max="9231" width="11.28515625" style="1" customWidth="1"/>
    <col min="9232" max="9232" width="13.42578125" style="1" customWidth="1"/>
    <col min="9233" max="9235" width="5.42578125" style="1" customWidth="1"/>
    <col min="9236" max="9236" width="8.28515625" style="1" customWidth="1"/>
    <col min="9237" max="9239" width="4.7109375" style="1" customWidth="1"/>
    <col min="9240" max="9240" width="11.7109375" style="1" customWidth="1"/>
    <col min="9241" max="9242" width="7" style="1" customWidth="1"/>
    <col min="9243" max="9243" width="6.42578125" style="1" customWidth="1"/>
    <col min="9244" max="9244" width="15" style="1" customWidth="1"/>
    <col min="9245" max="9245" width="5.28515625" style="1" customWidth="1"/>
    <col min="9246" max="9248" width="4.7109375" style="1" customWidth="1"/>
    <col min="9249" max="9249" width="11.7109375" style="1" customWidth="1"/>
    <col min="9250" max="9250" width="10" style="1" customWidth="1"/>
    <col min="9251" max="9251" width="7.42578125" style="1" customWidth="1"/>
    <col min="9252" max="9252" width="7.140625" style="1" customWidth="1"/>
    <col min="9253" max="9253" width="6.42578125" style="1" customWidth="1"/>
    <col min="9254" max="9484" width="8.7109375" style="1"/>
    <col min="9485" max="9485" width="3.7109375" style="1" customWidth="1"/>
    <col min="9486" max="9486" width="4.28515625" style="1" customWidth="1"/>
    <col min="9487" max="9487" width="11.28515625" style="1" customWidth="1"/>
    <col min="9488" max="9488" width="13.42578125" style="1" customWidth="1"/>
    <col min="9489" max="9491" width="5.42578125" style="1" customWidth="1"/>
    <col min="9492" max="9492" width="8.28515625" style="1" customWidth="1"/>
    <col min="9493" max="9495" width="4.7109375" style="1" customWidth="1"/>
    <col min="9496" max="9496" width="11.7109375" style="1" customWidth="1"/>
    <col min="9497" max="9498" width="7" style="1" customWidth="1"/>
    <col min="9499" max="9499" width="6.42578125" style="1" customWidth="1"/>
    <col min="9500" max="9500" width="15" style="1" customWidth="1"/>
    <col min="9501" max="9501" width="5.28515625" style="1" customWidth="1"/>
    <col min="9502" max="9504" width="4.7109375" style="1" customWidth="1"/>
    <col min="9505" max="9505" width="11.7109375" style="1" customWidth="1"/>
    <col min="9506" max="9506" width="10" style="1" customWidth="1"/>
    <col min="9507" max="9507" width="7.42578125" style="1" customWidth="1"/>
    <col min="9508" max="9508" width="7.140625" style="1" customWidth="1"/>
    <col min="9509" max="9509" width="6.42578125" style="1" customWidth="1"/>
    <col min="9510" max="9740" width="8.7109375" style="1"/>
    <col min="9741" max="9741" width="3.7109375" style="1" customWidth="1"/>
    <col min="9742" max="9742" width="4.28515625" style="1" customWidth="1"/>
    <col min="9743" max="9743" width="11.28515625" style="1" customWidth="1"/>
    <col min="9744" max="9744" width="13.42578125" style="1" customWidth="1"/>
    <col min="9745" max="9747" width="5.42578125" style="1" customWidth="1"/>
    <col min="9748" max="9748" width="8.28515625" style="1" customWidth="1"/>
    <col min="9749" max="9751" width="4.7109375" style="1" customWidth="1"/>
    <col min="9752" max="9752" width="11.7109375" style="1" customWidth="1"/>
    <col min="9753" max="9754" width="7" style="1" customWidth="1"/>
    <col min="9755" max="9755" width="6.42578125" style="1" customWidth="1"/>
    <col min="9756" max="9756" width="15" style="1" customWidth="1"/>
    <col min="9757" max="9757" width="5.28515625" style="1" customWidth="1"/>
    <col min="9758" max="9760" width="4.7109375" style="1" customWidth="1"/>
    <col min="9761" max="9761" width="11.7109375" style="1" customWidth="1"/>
    <col min="9762" max="9762" width="10" style="1" customWidth="1"/>
    <col min="9763" max="9763" width="7.42578125" style="1" customWidth="1"/>
    <col min="9764" max="9764" width="7.140625" style="1" customWidth="1"/>
    <col min="9765" max="9765" width="6.42578125" style="1" customWidth="1"/>
    <col min="9766" max="9996" width="8.7109375" style="1"/>
    <col min="9997" max="9997" width="3.7109375" style="1" customWidth="1"/>
    <col min="9998" max="9998" width="4.28515625" style="1" customWidth="1"/>
    <col min="9999" max="9999" width="11.28515625" style="1" customWidth="1"/>
    <col min="10000" max="10000" width="13.42578125" style="1" customWidth="1"/>
    <col min="10001" max="10003" width="5.42578125" style="1" customWidth="1"/>
    <col min="10004" max="10004" width="8.28515625" style="1" customWidth="1"/>
    <col min="10005" max="10007" width="4.7109375" style="1" customWidth="1"/>
    <col min="10008" max="10008" width="11.7109375" style="1" customWidth="1"/>
    <col min="10009" max="10010" width="7" style="1" customWidth="1"/>
    <col min="10011" max="10011" width="6.42578125" style="1" customWidth="1"/>
    <col min="10012" max="10012" width="15" style="1" customWidth="1"/>
    <col min="10013" max="10013" width="5.28515625" style="1" customWidth="1"/>
    <col min="10014" max="10016" width="4.7109375" style="1" customWidth="1"/>
    <col min="10017" max="10017" width="11.7109375" style="1" customWidth="1"/>
    <col min="10018" max="10018" width="10" style="1" customWidth="1"/>
    <col min="10019" max="10019" width="7.42578125" style="1" customWidth="1"/>
    <col min="10020" max="10020" width="7.140625" style="1" customWidth="1"/>
    <col min="10021" max="10021" width="6.42578125" style="1" customWidth="1"/>
    <col min="10022" max="10252" width="8.7109375" style="1"/>
    <col min="10253" max="10253" width="3.7109375" style="1" customWidth="1"/>
    <col min="10254" max="10254" width="4.28515625" style="1" customWidth="1"/>
    <col min="10255" max="10255" width="11.28515625" style="1" customWidth="1"/>
    <col min="10256" max="10256" width="13.42578125" style="1" customWidth="1"/>
    <col min="10257" max="10259" width="5.42578125" style="1" customWidth="1"/>
    <col min="10260" max="10260" width="8.28515625" style="1" customWidth="1"/>
    <col min="10261" max="10263" width="4.7109375" style="1" customWidth="1"/>
    <col min="10264" max="10264" width="11.7109375" style="1" customWidth="1"/>
    <col min="10265" max="10266" width="7" style="1" customWidth="1"/>
    <col min="10267" max="10267" width="6.42578125" style="1" customWidth="1"/>
    <col min="10268" max="10268" width="15" style="1" customWidth="1"/>
    <col min="10269" max="10269" width="5.28515625" style="1" customWidth="1"/>
    <col min="10270" max="10272" width="4.7109375" style="1" customWidth="1"/>
    <col min="10273" max="10273" width="11.7109375" style="1" customWidth="1"/>
    <col min="10274" max="10274" width="10" style="1" customWidth="1"/>
    <col min="10275" max="10275" width="7.42578125" style="1" customWidth="1"/>
    <col min="10276" max="10276" width="7.140625" style="1" customWidth="1"/>
    <col min="10277" max="10277" width="6.42578125" style="1" customWidth="1"/>
    <col min="10278" max="10508" width="8.7109375" style="1"/>
    <col min="10509" max="10509" width="3.7109375" style="1" customWidth="1"/>
    <col min="10510" max="10510" width="4.28515625" style="1" customWidth="1"/>
    <col min="10511" max="10511" width="11.28515625" style="1" customWidth="1"/>
    <col min="10512" max="10512" width="13.42578125" style="1" customWidth="1"/>
    <col min="10513" max="10515" width="5.42578125" style="1" customWidth="1"/>
    <col min="10516" max="10516" width="8.28515625" style="1" customWidth="1"/>
    <col min="10517" max="10519" width="4.7109375" style="1" customWidth="1"/>
    <col min="10520" max="10520" width="11.7109375" style="1" customWidth="1"/>
    <col min="10521" max="10522" width="7" style="1" customWidth="1"/>
    <col min="10523" max="10523" width="6.42578125" style="1" customWidth="1"/>
    <col min="10524" max="10524" width="15" style="1" customWidth="1"/>
    <col min="10525" max="10525" width="5.28515625" style="1" customWidth="1"/>
    <col min="10526" max="10528" width="4.7109375" style="1" customWidth="1"/>
    <col min="10529" max="10529" width="11.7109375" style="1" customWidth="1"/>
    <col min="10530" max="10530" width="10" style="1" customWidth="1"/>
    <col min="10531" max="10531" width="7.42578125" style="1" customWidth="1"/>
    <col min="10532" max="10532" width="7.140625" style="1" customWidth="1"/>
    <col min="10533" max="10533" width="6.42578125" style="1" customWidth="1"/>
    <col min="10534" max="10764" width="8.7109375" style="1"/>
    <col min="10765" max="10765" width="3.7109375" style="1" customWidth="1"/>
    <col min="10766" max="10766" width="4.28515625" style="1" customWidth="1"/>
    <col min="10767" max="10767" width="11.28515625" style="1" customWidth="1"/>
    <col min="10768" max="10768" width="13.42578125" style="1" customWidth="1"/>
    <col min="10769" max="10771" width="5.42578125" style="1" customWidth="1"/>
    <col min="10772" max="10772" width="8.28515625" style="1" customWidth="1"/>
    <col min="10773" max="10775" width="4.7109375" style="1" customWidth="1"/>
    <col min="10776" max="10776" width="11.7109375" style="1" customWidth="1"/>
    <col min="10777" max="10778" width="7" style="1" customWidth="1"/>
    <col min="10779" max="10779" width="6.42578125" style="1" customWidth="1"/>
    <col min="10780" max="10780" width="15" style="1" customWidth="1"/>
    <col min="10781" max="10781" width="5.28515625" style="1" customWidth="1"/>
    <col min="10782" max="10784" width="4.7109375" style="1" customWidth="1"/>
    <col min="10785" max="10785" width="11.7109375" style="1" customWidth="1"/>
    <col min="10786" max="10786" width="10" style="1" customWidth="1"/>
    <col min="10787" max="10787" width="7.42578125" style="1" customWidth="1"/>
    <col min="10788" max="10788" width="7.140625" style="1" customWidth="1"/>
    <col min="10789" max="10789" width="6.42578125" style="1" customWidth="1"/>
    <col min="10790" max="11020" width="8.7109375" style="1"/>
    <col min="11021" max="11021" width="3.7109375" style="1" customWidth="1"/>
    <col min="11022" max="11022" width="4.28515625" style="1" customWidth="1"/>
    <col min="11023" max="11023" width="11.28515625" style="1" customWidth="1"/>
    <col min="11024" max="11024" width="13.42578125" style="1" customWidth="1"/>
    <col min="11025" max="11027" width="5.42578125" style="1" customWidth="1"/>
    <col min="11028" max="11028" width="8.28515625" style="1" customWidth="1"/>
    <col min="11029" max="11031" width="4.7109375" style="1" customWidth="1"/>
    <col min="11032" max="11032" width="11.7109375" style="1" customWidth="1"/>
    <col min="11033" max="11034" width="7" style="1" customWidth="1"/>
    <col min="11035" max="11035" width="6.42578125" style="1" customWidth="1"/>
    <col min="11036" max="11036" width="15" style="1" customWidth="1"/>
    <col min="11037" max="11037" width="5.28515625" style="1" customWidth="1"/>
    <col min="11038" max="11040" width="4.7109375" style="1" customWidth="1"/>
    <col min="11041" max="11041" width="11.7109375" style="1" customWidth="1"/>
    <col min="11042" max="11042" width="10" style="1" customWidth="1"/>
    <col min="11043" max="11043" width="7.42578125" style="1" customWidth="1"/>
    <col min="11044" max="11044" width="7.140625" style="1" customWidth="1"/>
    <col min="11045" max="11045" width="6.42578125" style="1" customWidth="1"/>
    <col min="11046" max="11276" width="8.7109375" style="1"/>
    <col min="11277" max="11277" width="3.7109375" style="1" customWidth="1"/>
    <col min="11278" max="11278" width="4.28515625" style="1" customWidth="1"/>
    <col min="11279" max="11279" width="11.28515625" style="1" customWidth="1"/>
    <col min="11280" max="11280" width="13.42578125" style="1" customWidth="1"/>
    <col min="11281" max="11283" width="5.42578125" style="1" customWidth="1"/>
    <col min="11284" max="11284" width="8.28515625" style="1" customWidth="1"/>
    <col min="11285" max="11287" width="4.7109375" style="1" customWidth="1"/>
    <col min="11288" max="11288" width="11.7109375" style="1" customWidth="1"/>
    <col min="11289" max="11290" width="7" style="1" customWidth="1"/>
    <col min="11291" max="11291" width="6.42578125" style="1" customWidth="1"/>
    <col min="11292" max="11292" width="15" style="1" customWidth="1"/>
    <col min="11293" max="11293" width="5.28515625" style="1" customWidth="1"/>
    <col min="11294" max="11296" width="4.7109375" style="1" customWidth="1"/>
    <col min="11297" max="11297" width="11.7109375" style="1" customWidth="1"/>
    <col min="11298" max="11298" width="10" style="1" customWidth="1"/>
    <col min="11299" max="11299" width="7.42578125" style="1" customWidth="1"/>
    <col min="11300" max="11300" width="7.140625" style="1" customWidth="1"/>
    <col min="11301" max="11301" width="6.42578125" style="1" customWidth="1"/>
    <col min="11302" max="11532" width="8.7109375" style="1"/>
    <col min="11533" max="11533" width="3.7109375" style="1" customWidth="1"/>
    <col min="11534" max="11534" width="4.28515625" style="1" customWidth="1"/>
    <col min="11535" max="11535" width="11.28515625" style="1" customWidth="1"/>
    <col min="11536" max="11536" width="13.42578125" style="1" customWidth="1"/>
    <col min="11537" max="11539" width="5.42578125" style="1" customWidth="1"/>
    <col min="11540" max="11540" width="8.28515625" style="1" customWidth="1"/>
    <col min="11541" max="11543" width="4.7109375" style="1" customWidth="1"/>
    <col min="11544" max="11544" width="11.7109375" style="1" customWidth="1"/>
    <col min="11545" max="11546" width="7" style="1" customWidth="1"/>
    <col min="11547" max="11547" width="6.42578125" style="1" customWidth="1"/>
    <col min="11548" max="11548" width="15" style="1" customWidth="1"/>
    <col min="11549" max="11549" width="5.28515625" style="1" customWidth="1"/>
    <col min="11550" max="11552" width="4.7109375" style="1" customWidth="1"/>
    <col min="11553" max="11553" width="11.7109375" style="1" customWidth="1"/>
    <col min="11554" max="11554" width="10" style="1" customWidth="1"/>
    <col min="11555" max="11555" width="7.42578125" style="1" customWidth="1"/>
    <col min="11556" max="11556" width="7.140625" style="1" customWidth="1"/>
    <col min="11557" max="11557" width="6.42578125" style="1" customWidth="1"/>
    <col min="11558" max="11788" width="8.7109375" style="1"/>
    <col min="11789" max="11789" width="3.7109375" style="1" customWidth="1"/>
    <col min="11790" max="11790" width="4.28515625" style="1" customWidth="1"/>
    <col min="11791" max="11791" width="11.28515625" style="1" customWidth="1"/>
    <col min="11792" max="11792" width="13.42578125" style="1" customWidth="1"/>
    <col min="11793" max="11795" width="5.42578125" style="1" customWidth="1"/>
    <col min="11796" max="11796" width="8.28515625" style="1" customWidth="1"/>
    <col min="11797" max="11799" width="4.7109375" style="1" customWidth="1"/>
    <col min="11800" max="11800" width="11.7109375" style="1" customWidth="1"/>
    <col min="11801" max="11802" width="7" style="1" customWidth="1"/>
    <col min="11803" max="11803" width="6.42578125" style="1" customWidth="1"/>
    <col min="11804" max="11804" width="15" style="1" customWidth="1"/>
    <col min="11805" max="11805" width="5.28515625" style="1" customWidth="1"/>
    <col min="11806" max="11808" width="4.7109375" style="1" customWidth="1"/>
    <col min="11809" max="11809" width="11.7109375" style="1" customWidth="1"/>
    <col min="11810" max="11810" width="10" style="1" customWidth="1"/>
    <col min="11811" max="11811" width="7.42578125" style="1" customWidth="1"/>
    <col min="11812" max="11812" width="7.140625" style="1" customWidth="1"/>
    <col min="11813" max="11813" width="6.42578125" style="1" customWidth="1"/>
    <col min="11814" max="12044" width="8.7109375" style="1"/>
    <col min="12045" max="12045" width="3.7109375" style="1" customWidth="1"/>
    <col min="12046" max="12046" width="4.28515625" style="1" customWidth="1"/>
    <col min="12047" max="12047" width="11.28515625" style="1" customWidth="1"/>
    <col min="12048" max="12048" width="13.42578125" style="1" customWidth="1"/>
    <col min="12049" max="12051" width="5.42578125" style="1" customWidth="1"/>
    <col min="12052" max="12052" width="8.28515625" style="1" customWidth="1"/>
    <col min="12053" max="12055" width="4.7109375" style="1" customWidth="1"/>
    <col min="12056" max="12056" width="11.7109375" style="1" customWidth="1"/>
    <col min="12057" max="12058" width="7" style="1" customWidth="1"/>
    <col min="12059" max="12059" width="6.42578125" style="1" customWidth="1"/>
    <col min="12060" max="12060" width="15" style="1" customWidth="1"/>
    <col min="12061" max="12061" width="5.28515625" style="1" customWidth="1"/>
    <col min="12062" max="12064" width="4.7109375" style="1" customWidth="1"/>
    <col min="12065" max="12065" width="11.7109375" style="1" customWidth="1"/>
    <col min="12066" max="12066" width="10" style="1" customWidth="1"/>
    <col min="12067" max="12067" width="7.42578125" style="1" customWidth="1"/>
    <col min="12068" max="12068" width="7.140625" style="1" customWidth="1"/>
    <col min="12069" max="12069" width="6.42578125" style="1" customWidth="1"/>
    <col min="12070" max="12300" width="8.7109375" style="1"/>
    <col min="12301" max="12301" width="3.7109375" style="1" customWidth="1"/>
    <col min="12302" max="12302" width="4.28515625" style="1" customWidth="1"/>
    <col min="12303" max="12303" width="11.28515625" style="1" customWidth="1"/>
    <col min="12304" max="12304" width="13.42578125" style="1" customWidth="1"/>
    <col min="12305" max="12307" width="5.42578125" style="1" customWidth="1"/>
    <col min="12308" max="12308" width="8.28515625" style="1" customWidth="1"/>
    <col min="12309" max="12311" width="4.7109375" style="1" customWidth="1"/>
    <col min="12312" max="12312" width="11.7109375" style="1" customWidth="1"/>
    <col min="12313" max="12314" width="7" style="1" customWidth="1"/>
    <col min="12315" max="12315" width="6.42578125" style="1" customWidth="1"/>
    <col min="12316" max="12316" width="15" style="1" customWidth="1"/>
    <col min="12317" max="12317" width="5.28515625" style="1" customWidth="1"/>
    <col min="12318" max="12320" width="4.7109375" style="1" customWidth="1"/>
    <col min="12321" max="12321" width="11.7109375" style="1" customWidth="1"/>
    <col min="12322" max="12322" width="10" style="1" customWidth="1"/>
    <col min="12323" max="12323" width="7.42578125" style="1" customWidth="1"/>
    <col min="12324" max="12324" width="7.140625" style="1" customWidth="1"/>
    <col min="12325" max="12325" width="6.42578125" style="1" customWidth="1"/>
    <col min="12326" max="12556" width="8.7109375" style="1"/>
    <col min="12557" max="12557" width="3.7109375" style="1" customWidth="1"/>
    <col min="12558" max="12558" width="4.28515625" style="1" customWidth="1"/>
    <col min="12559" max="12559" width="11.28515625" style="1" customWidth="1"/>
    <col min="12560" max="12560" width="13.42578125" style="1" customWidth="1"/>
    <col min="12561" max="12563" width="5.42578125" style="1" customWidth="1"/>
    <col min="12564" max="12564" width="8.28515625" style="1" customWidth="1"/>
    <col min="12565" max="12567" width="4.7109375" style="1" customWidth="1"/>
    <col min="12568" max="12568" width="11.7109375" style="1" customWidth="1"/>
    <col min="12569" max="12570" width="7" style="1" customWidth="1"/>
    <col min="12571" max="12571" width="6.42578125" style="1" customWidth="1"/>
    <col min="12572" max="12572" width="15" style="1" customWidth="1"/>
    <col min="12573" max="12573" width="5.28515625" style="1" customWidth="1"/>
    <col min="12574" max="12576" width="4.7109375" style="1" customWidth="1"/>
    <col min="12577" max="12577" width="11.7109375" style="1" customWidth="1"/>
    <col min="12578" max="12578" width="10" style="1" customWidth="1"/>
    <col min="12579" max="12579" width="7.42578125" style="1" customWidth="1"/>
    <col min="12580" max="12580" width="7.140625" style="1" customWidth="1"/>
    <col min="12581" max="12581" width="6.42578125" style="1" customWidth="1"/>
    <col min="12582" max="12812" width="8.7109375" style="1"/>
    <col min="12813" max="12813" width="3.7109375" style="1" customWidth="1"/>
    <col min="12814" max="12814" width="4.28515625" style="1" customWidth="1"/>
    <col min="12815" max="12815" width="11.28515625" style="1" customWidth="1"/>
    <col min="12816" max="12816" width="13.42578125" style="1" customWidth="1"/>
    <col min="12817" max="12819" width="5.42578125" style="1" customWidth="1"/>
    <col min="12820" max="12820" width="8.28515625" style="1" customWidth="1"/>
    <col min="12821" max="12823" width="4.7109375" style="1" customWidth="1"/>
    <col min="12824" max="12824" width="11.7109375" style="1" customWidth="1"/>
    <col min="12825" max="12826" width="7" style="1" customWidth="1"/>
    <col min="12827" max="12827" width="6.42578125" style="1" customWidth="1"/>
    <col min="12828" max="12828" width="15" style="1" customWidth="1"/>
    <col min="12829" max="12829" width="5.28515625" style="1" customWidth="1"/>
    <col min="12830" max="12832" width="4.7109375" style="1" customWidth="1"/>
    <col min="12833" max="12833" width="11.7109375" style="1" customWidth="1"/>
    <col min="12834" max="12834" width="10" style="1" customWidth="1"/>
    <col min="12835" max="12835" width="7.42578125" style="1" customWidth="1"/>
    <col min="12836" max="12836" width="7.140625" style="1" customWidth="1"/>
    <col min="12837" max="12837" width="6.42578125" style="1" customWidth="1"/>
    <col min="12838" max="13068" width="8.7109375" style="1"/>
    <col min="13069" max="13069" width="3.7109375" style="1" customWidth="1"/>
    <col min="13070" max="13070" width="4.28515625" style="1" customWidth="1"/>
    <col min="13071" max="13071" width="11.28515625" style="1" customWidth="1"/>
    <col min="13072" max="13072" width="13.42578125" style="1" customWidth="1"/>
    <col min="13073" max="13075" width="5.42578125" style="1" customWidth="1"/>
    <col min="13076" max="13076" width="8.28515625" style="1" customWidth="1"/>
    <col min="13077" max="13079" width="4.7109375" style="1" customWidth="1"/>
    <col min="13080" max="13080" width="11.7109375" style="1" customWidth="1"/>
    <col min="13081" max="13082" width="7" style="1" customWidth="1"/>
    <col min="13083" max="13083" width="6.42578125" style="1" customWidth="1"/>
    <col min="13084" max="13084" width="15" style="1" customWidth="1"/>
    <col min="13085" max="13085" width="5.28515625" style="1" customWidth="1"/>
    <col min="13086" max="13088" width="4.7109375" style="1" customWidth="1"/>
    <col min="13089" max="13089" width="11.7109375" style="1" customWidth="1"/>
    <col min="13090" max="13090" width="10" style="1" customWidth="1"/>
    <col min="13091" max="13091" width="7.42578125" style="1" customWidth="1"/>
    <col min="13092" max="13092" width="7.140625" style="1" customWidth="1"/>
    <col min="13093" max="13093" width="6.42578125" style="1" customWidth="1"/>
    <col min="13094" max="13324" width="8.7109375" style="1"/>
    <col min="13325" max="13325" width="3.7109375" style="1" customWidth="1"/>
    <col min="13326" max="13326" width="4.28515625" style="1" customWidth="1"/>
    <col min="13327" max="13327" width="11.28515625" style="1" customWidth="1"/>
    <col min="13328" max="13328" width="13.42578125" style="1" customWidth="1"/>
    <col min="13329" max="13331" width="5.42578125" style="1" customWidth="1"/>
    <col min="13332" max="13332" width="8.28515625" style="1" customWidth="1"/>
    <col min="13333" max="13335" width="4.7109375" style="1" customWidth="1"/>
    <col min="13336" max="13336" width="11.7109375" style="1" customWidth="1"/>
    <col min="13337" max="13338" width="7" style="1" customWidth="1"/>
    <col min="13339" max="13339" width="6.42578125" style="1" customWidth="1"/>
    <col min="13340" max="13340" width="15" style="1" customWidth="1"/>
    <col min="13341" max="13341" width="5.28515625" style="1" customWidth="1"/>
    <col min="13342" max="13344" width="4.7109375" style="1" customWidth="1"/>
    <col min="13345" max="13345" width="11.7109375" style="1" customWidth="1"/>
    <col min="13346" max="13346" width="10" style="1" customWidth="1"/>
    <col min="13347" max="13347" width="7.42578125" style="1" customWidth="1"/>
    <col min="13348" max="13348" width="7.140625" style="1" customWidth="1"/>
    <col min="13349" max="13349" width="6.42578125" style="1" customWidth="1"/>
    <col min="13350" max="13580" width="8.7109375" style="1"/>
    <col min="13581" max="13581" width="3.7109375" style="1" customWidth="1"/>
    <col min="13582" max="13582" width="4.28515625" style="1" customWidth="1"/>
    <col min="13583" max="13583" width="11.28515625" style="1" customWidth="1"/>
    <col min="13584" max="13584" width="13.42578125" style="1" customWidth="1"/>
    <col min="13585" max="13587" width="5.42578125" style="1" customWidth="1"/>
    <col min="13588" max="13588" width="8.28515625" style="1" customWidth="1"/>
    <col min="13589" max="13591" width="4.7109375" style="1" customWidth="1"/>
    <col min="13592" max="13592" width="11.7109375" style="1" customWidth="1"/>
    <col min="13593" max="13594" width="7" style="1" customWidth="1"/>
    <col min="13595" max="13595" width="6.42578125" style="1" customWidth="1"/>
    <col min="13596" max="13596" width="15" style="1" customWidth="1"/>
    <col min="13597" max="13597" width="5.28515625" style="1" customWidth="1"/>
    <col min="13598" max="13600" width="4.7109375" style="1" customWidth="1"/>
    <col min="13601" max="13601" width="11.7109375" style="1" customWidth="1"/>
    <col min="13602" max="13602" width="10" style="1" customWidth="1"/>
    <col min="13603" max="13603" width="7.42578125" style="1" customWidth="1"/>
    <col min="13604" max="13604" width="7.140625" style="1" customWidth="1"/>
    <col min="13605" max="13605" width="6.42578125" style="1" customWidth="1"/>
    <col min="13606" max="13836" width="8.7109375" style="1"/>
    <col min="13837" max="13837" width="3.7109375" style="1" customWidth="1"/>
    <col min="13838" max="13838" width="4.28515625" style="1" customWidth="1"/>
    <col min="13839" max="13839" width="11.28515625" style="1" customWidth="1"/>
    <col min="13840" max="13840" width="13.42578125" style="1" customWidth="1"/>
    <col min="13841" max="13843" width="5.42578125" style="1" customWidth="1"/>
    <col min="13844" max="13844" width="8.28515625" style="1" customWidth="1"/>
    <col min="13845" max="13847" width="4.7109375" style="1" customWidth="1"/>
    <col min="13848" max="13848" width="11.7109375" style="1" customWidth="1"/>
    <col min="13849" max="13850" width="7" style="1" customWidth="1"/>
    <col min="13851" max="13851" width="6.42578125" style="1" customWidth="1"/>
    <col min="13852" max="13852" width="15" style="1" customWidth="1"/>
    <col min="13853" max="13853" width="5.28515625" style="1" customWidth="1"/>
    <col min="13854" max="13856" width="4.7109375" style="1" customWidth="1"/>
    <col min="13857" max="13857" width="11.7109375" style="1" customWidth="1"/>
    <col min="13858" max="13858" width="10" style="1" customWidth="1"/>
    <col min="13859" max="13859" width="7.42578125" style="1" customWidth="1"/>
    <col min="13860" max="13860" width="7.140625" style="1" customWidth="1"/>
    <col min="13861" max="13861" width="6.42578125" style="1" customWidth="1"/>
    <col min="13862" max="14092" width="8.7109375" style="1"/>
    <col min="14093" max="14093" width="3.7109375" style="1" customWidth="1"/>
    <col min="14094" max="14094" width="4.28515625" style="1" customWidth="1"/>
    <col min="14095" max="14095" width="11.28515625" style="1" customWidth="1"/>
    <col min="14096" max="14096" width="13.42578125" style="1" customWidth="1"/>
    <col min="14097" max="14099" width="5.42578125" style="1" customWidth="1"/>
    <col min="14100" max="14100" width="8.28515625" style="1" customWidth="1"/>
    <col min="14101" max="14103" width="4.7109375" style="1" customWidth="1"/>
    <col min="14104" max="14104" width="11.7109375" style="1" customWidth="1"/>
    <col min="14105" max="14106" width="7" style="1" customWidth="1"/>
    <col min="14107" max="14107" width="6.42578125" style="1" customWidth="1"/>
    <col min="14108" max="14108" width="15" style="1" customWidth="1"/>
    <col min="14109" max="14109" width="5.28515625" style="1" customWidth="1"/>
    <col min="14110" max="14112" width="4.7109375" style="1" customWidth="1"/>
    <col min="14113" max="14113" width="11.7109375" style="1" customWidth="1"/>
    <col min="14114" max="14114" width="10" style="1" customWidth="1"/>
    <col min="14115" max="14115" width="7.42578125" style="1" customWidth="1"/>
    <col min="14116" max="14116" width="7.140625" style="1" customWidth="1"/>
    <col min="14117" max="14117" width="6.42578125" style="1" customWidth="1"/>
    <col min="14118" max="14348" width="8.7109375" style="1"/>
    <col min="14349" max="14349" width="3.7109375" style="1" customWidth="1"/>
    <col min="14350" max="14350" width="4.28515625" style="1" customWidth="1"/>
    <col min="14351" max="14351" width="11.28515625" style="1" customWidth="1"/>
    <col min="14352" max="14352" width="13.42578125" style="1" customWidth="1"/>
    <col min="14353" max="14355" width="5.42578125" style="1" customWidth="1"/>
    <col min="14356" max="14356" width="8.28515625" style="1" customWidth="1"/>
    <col min="14357" max="14359" width="4.7109375" style="1" customWidth="1"/>
    <col min="14360" max="14360" width="11.7109375" style="1" customWidth="1"/>
    <col min="14361" max="14362" width="7" style="1" customWidth="1"/>
    <col min="14363" max="14363" width="6.42578125" style="1" customWidth="1"/>
    <col min="14364" max="14364" width="15" style="1" customWidth="1"/>
    <col min="14365" max="14365" width="5.28515625" style="1" customWidth="1"/>
    <col min="14366" max="14368" width="4.7109375" style="1" customWidth="1"/>
    <col min="14369" max="14369" width="11.7109375" style="1" customWidth="1"/>
    <col min="14370" max="14370" width="10" style="1" customWidth="1"/>
    <col min="14371" max="14371" width="7.42578125" style="1" customWidth="1"/>
    <col min="14372" max="14372" width="7.140625" style="1" customWidth="1"/>
    <col min="14373" max="14373" width="6.42578125" style="1" customWidth="1"/>
    <col min="14374" max="14604" width="8.7109375" style="1"/>
    <col min="14605" max="14605" width="3.7109375" style="1" customWidth="1"/>
    <col min="14606" max="14606" width="4.28515625" style="1" customWidth="1"/>
    <col min="14607" max="14607" width="11.28515625" style="1" customWidth="1"/>
    <col min="14608" max="14608" width="13.42578125" style="1" customWidth="1"/>
    <col min="14609" max="14611" width="5.42578125" style="1" customWidth="1"/>
    <col min="14612" max="14612" width="8.28515625" style="1" customWidth="1"/>
    <col min="14613" max="14615" width="4.7109375" style="1" customWidth="1"/>
    <col min="14616" max="14616" width="11.7109375" style="1" customWidth="1"/>
    <col min="14617" max="14618" width="7" style="1" customWidth="1"/>
    <col min="14619" max="14619" width="6.42578125" style="1" customWidth="1"/>
    <col min="14620" max="14620" width="15" style="1" customWidth="1"/>
    <col min="14621" max="14621" width="5.28515625" style="1" customWidth="1"/>
    <col min="14622" max="14624" width="4.7109375" style="1" customWidth="1"/>
    <col min="14625" max="14625" width="11.7109375" style="1" customWidth="1"/>
    <col min="14626" max="14626" width="10" style="1" customWidth="1"/>
    <col min="14627" max="14627" width="7.42578125" style="1" customWidth="1"/>
    <col min="14628" max="14628" width="7.140625" style="1" customWidth="1"/>
    <col min="14629" max="14629" width="6.42578125" style="1" customWidth="1"/>
    <col min="14630" max="14860" width="8.7109375" style="1"/>
    <col min="14861" max="14861" width="3.7109375" style="1" customWidth="1"/>
    <col min="14862" max="14862" width="4.28515625" style="1" customWidth="1"/>
    <col min="14863" max="14863" width="11.28515625" style="1" customWidth="1"/>
    <col min="14864" max="14864" width="13.42578125" style="1" customWidth="1"/>
    <col min="14865" max="14867" width="5.42578125" style="1" customWidth="1"/>
    <col min="14868" max="14868" width="8.28515625" style="1" customWidth="1"/>
    <col min="14869" max="14871" width="4.7109375" style="1" customWidth="1"/>
    <col min="14872" max="14872" width="11.7109375" style="1" customWidth="1"/>
    <col min="14873" max="14874" width="7" style="1" customWidth="1"/>
    <col min="14875" max="14875" width="6.42578125" style="1" customWidth="1"/>
    <col min="14876" max="14876" width="15" style="1" customWidth="1"/>
    <col min="14877" max="14877" width="5.28515625" style="1" customWidth="1"/>
    <col min="14878" max="14880" width="4.7109375" style="1" customWidth="1"/>
    <col min="14881" max="14881" width="11.7109375" style="1" customWidth="1"/>
    <col min="14882" max="14882" width="10" style="1" customWidth="1"/>
    <col min="14883" max="14883" width="7.42578125" style="1" customWidth="1"/>
    <col min="14884" max="14884" width="7.140625" style="1" customWidth="1"/>
    <col min="14885" max="14885" width="6.42578125" style="1" customWidth="1"/>
    <col min="14886" max="15116" width="8.7109375" style="1"/>
    <col min="15117" max="15117" width="3.7109375" style="1" customWidth="1"/>
    <col min="15118" max="15118" width="4.28515625" style="1" customWidth="1"/>
    <col min="15119" max="15119" width="11.28515625" style="1" customWidth="1"/>
    <col min="15120" max="15120" width="13.42578125" style="1" customWidth="1"/>
    <col min="15121" max="15123" width="5.42578125" style="1" customWidth="1"/>
    <col min="15124" max="15124" width="8.28515625" style="1" customWidth="1"/>
    <col min="15125" max="15127" width="4.7109375" style="1" customWidth="1"/>
    <col min="15128" max="15128" width="11.7109375" style="1" customWidth="1"/>
    <col min="15129" max="15130" width="7" style="1" customWidth="1"/>
    <col min="15131" max="15131" width="6.42578125" style="1" customWidth="1"/>
    <col min="15132" max="15132" width="15" style="1" customWidth="1"/>
    <col min="15133" max="15133" width="5.28515625" style="1" customWidth="1"/>
    <col min="15134" max="15136" width="4.7109375" style="1" customWidth="1"/>
    <col min="15137" max="15137" width="11.7109375" style="1" customWidth="1"/>
    <col min="15138" max="15138" width="10" style="1" customWidth="1"/>
    <col min="15139" max="15139" width="7.42578125" style="1" customWidth="1"/>
    <col min="15140" max="15140" width="7.140625" style="1" customWidth="1"/>
    <col min="15141" max="15141" width="6.42578125" style="1" customWidth="1"/>
    <col min="15142" max="15372" width="8.7109375" style="1"/>
    <col min="15373" max="15373" width="3.7109375" style="1" customWidth="1"/>
    <col min="15374" max="15374" width="4.28515625" style="1" customWidth="1"/>
    <col min="15375" max="15375" width="11.28515625" style="1" customWidth="1"/>
    <col min="15376" max="15376" width="13.42578125" style="1" customWidth="1"/>
    <col min="15377" max="15379" width="5.42578125" style="1" customWidth="1"/>
    <col min="15380" max="15380" width="8.28515625" style="1" customWidth="1"/>
    <col min="15381" max="15383" width="4.7109375" style="1" customWidth="1"/>
    <col min="15384" max="15384" width="11.7109375" style="1" customWidth="1"/>
    <col min="15385" max="15386" width="7" style="1" customWidth="1"/>
    <col min="15387" max="15387" width="6.42578125" style="1" customWidth="1"/>
    <col min="15388" max="15388" width="15" style="1" customWidth="1"/>
    <col min="15389" max="15389" width="5.28515625" style="1" customWidth="1"/>
    <col min="15390" max="15392" width="4.7109375" style="1" customWidth="1"/>
    <col min="15393" max="15393" width="11.7109375" style="1" customWidth="1"/>
    <col min="15394" max="15394" width="10" style="1" customWidth="1"/>
    <col min="15395" max="15395" width="7.42578125" style="1" customWidth="1"/>
    <col min="15396" max="15396" width="7.140625" style="1" customWidth="1"/>
    <col min="15397" max="15397" width="6.42578125" style="1" customWidth="1"/>
    <col min="15398" max="15628" width="8.7109375" style="1"/>
    <col min="15629" max="15629" width="3.7109375" style="1" customWidth="1"/>
    <col min="15630" max="15630" width="4.28515625" style="1" customWidth="1"/>
    <col min="15631" max="15631" width="11.28515625" style="1" customWidth="1"/>
    <col min="15632" max="15632" width="13.42578125" style="1" customWidth="1"/>
    <col min="15633" max="15635" width="5.42578125" style="1" customWidth="1"/>
    <col min="15636" max="15636" width="8.28515625" style="1" customWidth="1"/>
    <col min="15637" max="15639" width="4.7109375" style="1" customWidth="1"/>
    <col min="15640" max="15640" width="11.7109375" style="1" customWidth="1"/>
    <col min="15641" max="15642" width="7" style="1" customWidth="1"/>
    <col min="15643" max="15643" width="6.42578125" style="1" customWidth="1"/>
    <col min="15644" max="15644" width="15" style="1" customWidth="1"/>
    <col min="15645" max="15645" width="5.28515625" style="1" customWidth="1"/>
    <col min="15646" max="15648" width="4.7109375" style="1" customWidth="1"/>
    <col min="15649" max="15649" width="11.7109375" style="1" customWidth="1"/>
    <col min="15650" max="15650" width="10" style="1" customWidth="1"/>
    <col min="15651" max="15651" width="7.42578125" style="1" customWidth="1"/>
    <col min="15652" max="15652" width="7.140625" style="1" customWidth="1"/>
    <col min="15653" max="15653" width="6.42578125" style="1" customWidth="1"/>
    <col min="15654" max="15884" width="8.7109375" style="1"/>
    <col min="15885" max="15885" width="3.7109375" style="1" customWidth="1"/>
    <col min="15886" max="15886" width="4.28515625" style="1" customWidth="1"/>
    <col min="15887" max="15887" width="11.28515625" style="1" customWidth="1"/>
    <col min="15888" max="15888" width="13.42578125" style="1" customWidth="1"/>
    <col min="15889" max="15891" width="5.42578125" style="1" customWidth="1"/>
    <col min="15892" max="15892" width="8.28515625" style="1" customWidth="1"/>
    <col min="15893" max="15895" width="4.7109375" style="1" customWidth="1"/>
    <col min="15896" max="15896" width="11.7109375" style="1" customWidth="1"/>
    <col min="15897" max="15898" width="7" style="1" customWidth="1"/>
    <col min="15899" max="15899" width="6.42578125" style="1" customWidth="1"/>
    <col min="15900" max="15900" width="15" style="1" customWidth="1"/>
    <col min="15901" max="15901" width="5.28515625" style="1" customWidth="1"/>
    <col min="15902" max="15904" width="4.7109375" style="1" customWidth="1"/>
    <col min="15905" max="15905" width="11.7109375" style="1" customWidth="1"/>
    <col min="15906" max="15906" width="10" style="1" customWidth="1"/>
    <col min="15907" max="15907" width="7.42578125" style="1" customWidth="1"/>
    <col min="15908" max="15908" width="7.140625" style="1" customWidth="1"/>
    <col min="15909" max="15909" width="6.42578125" style="1" customWidth="1"/>
    <col min="15910" max="16140" width="8.7109375" style="1"/>
    <col min="16141" max="16141" width="3.7109375" style="1" customWidth="1"/>
    <col min="16142" max="16142" width="4.28515625" style="1" customWidth="1"/>
    <col min="16143" max="16143" width="11.28515625" style="1" customWidth="1"/>
    <col min="16144" max="16144" width="13.42578125" style="1" customWidth="1"/>
    <col min="16145" max="16147" width="5.42578125" style="1" customWidth="1"/>
    <col min="16148" max="16148" width="8.28515625" style="1" customWidth="1"/>
    <col min="16149" max="16151" width="4.7109375" style="1" customWidth="1"/>
    <col min="16152" max="16152" width="11.7109375" style="1" customWidth="1"/>
    <col min="16153" max="16154" width="7" style="1" customWidth="1"/>
    <col min="16155" max="16155" width="6.42578125" style="1" customWidth="1"/>
    <col min="16156" max="16156" width="15" style="1" customWidth="1"/>
    <col min="16157" max="16157" width="5.28515625" style="1" customWidth="1"/>
    <col min="16158" max="16160" width="4.7109375" style="1" customWidth="1"/>
    <col min="16161" max="16161" width="11.7109375" style="1" customWidth="1"/>
    <col min="16162" max="16162" width="10" style="1" customWidth="1"/>
    <col min="16163" max="16163" width="7.42578125" style="1" customWidth="1"/>
    <col min="16164" max="16164" width="7.140625" style="1" customWidth="1"/>
    <col min="16165" max="16165" width="6.42578125" style="1" customWidth="1"/>
    <col min="16166" max="16384" width="8.7109375" style="1"/>
  </cols>
  <sheetData>
    <row r="1" spans="2:39" x14ac:dyDescent="0.25">
      <c r="B1" s="1" t="s">
        <v>0</v>
      </c>
      <c r="F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K1" s="2" t="s">
        <v>1</v>
      </c>
    </row>
    <row r="2" spans="2:39" ht="15" customHeight="1" x14ac:dyDescent="0.25">
      <c r="B2" s="1" t="s">
        <v>42</v>
      </c>
      <c r="F2" s="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K2" s="1" t="s">
        <v>2</v>
      </c>
    </row>
    <row r="3" spans="2:39" ht="15" customHeight="1" x14ac:dyDescent="0.25">
      <c r="B3" s="1" t="s">
        <v>95</v>
      </c>
      <c r="F3" s="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K3" s="4" t="s">
        <v>3</v>
      </c>
    </row>
    <row r="4" spans="2:39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spans="2:39" ht="17.25" customHeight="1" x14ac:dyDescent="0.25">
      <c r="B5" s="44" t="s">
        <v>106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2:39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2:39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2:39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2:39" ht="39.7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  <c r="V9" s="64" t="s">
        <v>12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  <c r="AL9" s="9" t="s">
        <v>13</v>
      </c>
      <c r="AM9" s="46" t="s">
        <v>14</v>
      </c>
    </row>
    <row r="10" spans="2:39" s="11" customFormat="1" ht="23.25" customHeight="1" x14ac:dyDescent="0.25">
      <c r="B10" s="60"/>
      <c r="C10" s="60"/>
      <c r="D10" s="60"/>
      <c r="E10" s="60"/>
      <c r="F10" s="49" t="s">
        <v>15</v>
      </c>
      <c r="G10" s="67" t="s">
        <v>15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 t="s">
        <v>15</v>
      </c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49" t="s">
        <v>16</v>
      </c>
      <c r="AM10" s="47"/>
    </row>
    <row r="11" spans="2:39" s="12" customFormat="1" ht="73.150000000000006" customHeight="1" x14ac:dyDescent="0.25">
      <c r="B11" s="60"/>
      <c r="C11" s="60"/>
      <c r="D11" s="60"/>
      <c r="E11" s="60"/>
      <c r="F11" s="50"/>
      <c r="G11" s="10" t="s">
        <v>69</v>
      </c>
      <c r="H11" s="10" t="s">
        <v>70</v>
      </c>
      <c r="I11" s="10" t="s">
        <v>71</v>
      </c>
      <c r="J11" s="10" t="s">
        <v>73</v>
      </c>
      <c r="K11" s="10" t="s">
        <v>75</v>
      </c>
      <c r="L11" s="10" t="s">
        <v>77</v>
      </c>
      <c r="M11" s="10" t="s">
        <v>78</v>
      </c>
      <c r="N11" s="10" t="s">
        <v>79</v>
      </c>
      <c r="O11" s="10" t="s">
        <v>81</v>
      </c>
      <c r="P11" s="10" t="s">
        <v>82</v>
      </c>
      <c r="Q11" s="10" t="s">
        <v>84</v>
      </c>
      <c r="R11" s="10" t="s">
        <v>85</v>
      </c>
      <c r="S11" s="10" t="s">
        <v>86</v>
      </c>
      <c r="T11" s="10" t="s">
        <v>88</v>
      </c>
      <c r="U11" s="10" t="s">
        <v>17</v>
      </c>
      <c r="V11" s="10" t="s">
        <v>69</v>
      </c>
      <c r="W11" s="10" t="s">
        <v>72</v>
      </c>
      <c r="X11" s="10" t="s">
        <v>73</v>
      </c>
      <c r="Y11" s="10" t="s">
        <v>74</v>
      </c>
      <c r="Z11" s="10" t="s">
        <v>76</v>
      </c>
      <c r="AA11" s="10" t="s">
        <v>77</v>
      </c>
      <c r="AB11" s="10" t="s">
        <v>79</v>
      </c>
      <c r="AC11" s="10" t="s">
        <v>80</v>
      </c>
      <c r="AD11" s="10" t="s">
        <v>81</v>
      </c>
      <c r="AE11" s="10" t="s">
        <v>83</v>
      </c>
      <c r="AF11" s="10" t="s">
        <v>85</v>
      </c>
      <c r="AG11" s="10" t="s">
        <v>86</v>
      </c>
      <c r="AH11" s="10" t="s">
        <v>87</v>
      </c>
      <c r="AI11" s="10" t="s">
        <v>88</v>
      </c>
      <c r="AJ11" s="10" t="s">
        <v>91</v>
      </c>
      <c r="AK11" s="8" t="s">
        <v>18</v>
      </c>
      <c r="AL11" s="50"/>
      <c r="AM11" s="48"/>
    </row>
    <row r="12" spans="2:39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52</v>
      </c>
      <c r="P12" s="14" t="s">
        <v>53</v>
      </c>
      <c r="Q12" s="14" t="s">
        <v>54</v>
      </c>
      <c r="R12" s="14" t="s">
        <v>55</v>
      </c>
      <c r="S12" s="14" t="s">
        <v>89</v>
      </c>
      <c r="T12" s="14" t="s">
        <v>90</v>
      </c>
      <c r="U12" s="14" t="s">
        <v>26</v>
      </c>
      <c r="V12" s="14" t="s">
        <v>27</v>
      </c>
      <c r="W12" s="14" t="s">
        <v>28</v>
      </c>
      <c r="X12" s="14" t="s">
        <v>56</v>
      </c>
      <c r="Y12" s="14" t="s">
        <v>57</v>
      </c>
      <c r="Z12" s="14" t="s">
        <v>58</v>
      </c>
      <c r="AA12" s="14" t="s">
        <v>59</v>
      </c>
      <c r="AB12" s="14" t="s">
        <v>60</v>
      </c>
      <c r="AC12" s="14" t="s">
        <v>61</v>
      </c>
      <c r="AD12" s="14" t="s">
        <v>62</v>
      </c>
      <c r="AE12" s="14" t="s">
        <v>63</v>
      </c>
      <c r="AF12" s="14" t="s">
        <v>64</v>
      </c>
      <c r="AG12" s="14" t="s">
        <v>65</v>
      </c>
      <c r="AH12" s="14" t="s">
        <v>66</v>
      </c>
      <c r="AI12" s="14" t="s">
        <v>67</v>
      </c>
      <c r="AJ12" s="26" t="s">
        <v>68</v>
      </c>
      <c r="AK12" s="14" t="s">
        <v>29</v>
      </c>
      <c r="AL12" s="13" t="s">
        <v>30</v>
      </c>
      <c r="AM12" s="13" t="s">
        <v>31</v>
      </c>
    </row>
    <row r="13" spans="2:39" s="22" customFormat="1" ht="74.25" customHeight="1" x14ac:dyDescent="0.25">
      <c r="B13" s="15">
        <v>1</v>
      </c>
      <c r="C13" s="24" t="s">
        <v>44</v>
      </c>
      <c r="D13" s="16"/>
      <c r="E13" s="16" t="s">
        <v>45</v>
      </c>
      <c r="F13" s="16" t="e">
        <f>'T10'!AL13</f>
        <v>#VALUE!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5">
        <f>SUM(G13:T13)</f>
        <v>0</v>
      </c>
      <c r="V13" s="16"/>
      <c r="W13" s="16"/>
      <c r="X13" s="16"/>
      <c r="Y13" s="23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3"/>
      <c r="AK13" s="25">
        <f>SUM(V13:AJ13)</f>
        <v>0</v>
      </c>
      <c r="AL13" s="25" t="e">
        <f>F13+U13-AK13</f>
        <v>#VALUE!</v>
      </c>
      <c r="AM13" s="23" t="s">
        <v>93</v>
      </c>
    </row>
    <row r="14" spans="2:39" ht="24" customHeight="1" x14ac:dyDescent="0.25">
      <c r="B14" s="15" t="s">
        <v>32</v>
      </c>
      <c r="C14" s="15"/>
      <c r="D14" s="15"/>
      <c r="E14" s="15"/>
      <c r="F14" s="8" t="e">
        <f>F13</f>
        <v>#VALUE!</v>
      </c>
      <c r="G14" s="8">
        <f t="shared" ref="G14:AL14" si="0">G13</f>
        <v>0</v>
      </c>
      <c r="H14" s="8">
        <f t="shared" si="0"/>
        <v>0</v>
      </c>
      <c r="I14" s="8">
        <f t="shared" si="0"/>
        <v>0</v>
      </c>
      <c r="J14" s="8">
        <f t="shared" si="0"/>
        <v>0</v>
      </c>
      <c r="K14" s="8">
        <f t="shared" si="0"/>
        <v>0</v>
      </c>
      <c r="L14" s="8">
        <f t="shared" si="0"/>
        <v>0</v>
      </c>
      <c r="M14" s="8">
        <f t="shared" si="0"/>
        <v>0</v>
      </c>
      <c r="N14" s="8">
        <f t="shared" si="0"/>
        <v>0</v>
      </c>
      <c r="O14" s="8">
        <f t="shared" si="0"/>
        <v>0</v>
      </c>
      <c r="P14" s="8">
        <f t="shared" si="0"/>
        <v>0</v>
      </c>
      <c r="Q14" s="8">
        <f t="shared" si="0"/>
        <v>0</v>
      </c>
      <c r="R14" s="8">
        <f t="shared" si="0"/>
        <v>0</v>
      </c>
      <c r="S14" s="8">
        <f t="shared" si="0"/>
        <v>0</v>
      </c>
      <c r="T14" s="8">
        <f t="shared" si="0"/>
        <v>0</v>
      </c>
      <c r="U14" s="8">
        <f t="shared" si="0"/>
        <v>0</v>
      </c>
      <c r="V14" s="8">
        <f t="shared" si="0"/>
        <v>0</v>
      </c>
      <c r="W14" s="8">
        <f t="shared" si="0"/>
        <v>0</v>
      </c>
      <c r="X14" s="8">
        <f t="shared" si="0"/>
        <v>0</v>
      </c>
      <c r="Y14" s="8">
        <f t="shared" si="0"/>
        <v>0</v>
      </c>
      <c r="Z14" s="8">
        <f t="shared" si="0"/>
        <v>0</v>
      </c>
      <c r="AA14" s="8">
        <f t="shared" si="0"/>
        <v>0</v>
      </c>
      <c r="AB14" s="8">
        <f t="shared" si="0"/>
        <v>0</v>
      </c>
      <c r="AC14" s="8">
        <f t="shared" si="0"/>
        <v>0</v>
      </c>
      <c r="AD14" s="8">
        <f t="shared" si="0"/>
        <v>0</v>
      </c>
      <c r="AE14" s="8">
        <f t="shared" si="0"/>
        <v>0</v>
      </c>
      <c r="AF14" s="8">
        <f t="shared" si="0"/>
        <v>0</v>
      </c>
      <c r="AG14" s="8">
        <f t="shared" si="0"/>
        <v>0</v>
      </c>
      <c r="AH14" s="8">
        <f t="shared" si="0"/>
        <v>0</v>
      </c>
      <c r="AI14" s="8">
        <f t="shared" si="0"/>
        <v>0</v>
      </c>
      <c r="AJ14" s="8">
        <f t="shared" si="0"/>
        <v>0</v>
      </c>
      <c r="AK14" s="8">
        <f t="shared" si="0"/>
        <v>0</v>
      </c>
      <c r="AL14" s="8" t="e">
        <f t="shared" si="0"/>
        <v>#VALUE!</v>
      </c>
      <c r="AM14" s="27"/>
    </row>
    <row r="15" spans="2:39" ht="24" customHeight="1" x14ac:dyDescent="0.25">
      <c r="B15" s="17"/>
      <c r="C15" s="17"/>
      <c r="D15" s="17"/>
      <c r="E15" s="17"/>
      <c r="F15" s="18" t="s">
        <v>96</v>
      </c>
      <c r="U15" s="57" t="s">
        <v>33</v>
      </c>
      <c r="V15" s="57"/>
      <c r="W15" s="57"/>
      <c r="X15" s="57"/>
      <c r="Y15" s="57"/>
      <c r="Z15" s="57"/>
      <c r="AA15" s="57"/>
      <c r="AB15" s="57"/>
      <c r="AC15" s="57"/>
      <c r="AD15" s="5"/>
      <c r="AE15" s="5"/>
      <c r="AF15" s="5"/>
      <c r="AG15" s="5"/>
      <c r="AH15" s="5"/>
      <c r="AI15" s="5"/>
      <c r="AJ15" s="19"/>
      <c r="AK15" s="19"/>
    </row>
    <row r="16" spans="2:39" ht="24" customHeight="1" x14ac:dyDescent="0.25">
      <c r="B16" s="17"/>
      <c r="C16" s="17"/>
      <c r="D16" s="17"/>
      <c r="E16" s="17"/>
      <c r="F16" s="18"/>
      <c r="U16" s="44"/>
      <c r="V16" s="44"/>
      <c r="W16" s="44"/>
      <c r="X16" s="44"/>
      <c r="Y16" s="44"/>
      <c r="Z16" s="44"/>
      <c r="AA16" s="44"/>
      <c r="AB16" s="44"/>
      <c r="AC16" s="44"/>
      <c r="AD16" s="5"/>
      <c r="AE16" s="5"/>
      <c r="AF16" s="5"/>
      <c r="AG16" s="5"/>
      <c r="AH16" s="5"/>
      <c r="AI16" s="5"/>
      <c r="AJ16" s="19"/>
      <c r="AK16" s="19"/>
    </row>
    <row r="17" spans="2:38" ht="24" customHeight="1" x14ac:dyDescent="0.25">
      <c r="B17" s="17"/>
      <c r="C17" s="17"/>
      <c r="D17" s="17"/>
      <c r="E17" s="17"/>
    </row>
    <row r="18" spans="2:38" ht="24" customHeight="1" x14ac:dyDescent="0.25">
      <c r="B18" s="17"/>
      <c r="C18" s="17"/>
      <c r="D18" s="17"/>
      <c r="E18" s="17"/>
    </row>
    <row r="19" spans="2:38" ht="24" customHeight="1" x14ac:dyDescent="0.25">
      <c r="B19" s="17"/>
      <c r="C19" s="17"/>
      <c r="D19" s="17"/>
      <c r="E19" s="17"/>
      <c r="F19" s="19" t="s">
        <v>94</v>
      </c>
    </row>
    <row r="20" spans="2:38" ht="24" customHeight="1" x14ac:dyDescent="0.3">
      <c r="B20" s="17"/>
      <c r="C20" s="17"/>
      <c r="D20" s="17"/>
      <c r="E20" s="17"/>
      <c r="F20" s="21"/>
      <c r="U20" s="45" t="s">
        <v>92</v>
      </c>
      <c r="V20" s="45"/>
      <c r="W20" s="45"/>
      <c r="X20" s="45"/>
      <c r="Y20" s="45"/>
      <c r="Z20" s="45"/>
      <c r="AA20" s="45"/>
      <c r="AB20" s="45"/>
      <c r="AC20" s="45"/>
    </row>
    <row r="21" spans="2:38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2:38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spans="2:38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spans="2:38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spans="2:38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 spans="2:38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spans="2:38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spans="2:38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</row>
  </sheetData>
  <mergeCells count="23">
    <mergeCell ref="U15:AC15"/>
    <mergeCell ref="B4:AL4"/>
    <mergeCell ref="B5:AL5"/>
    <mergeCell ref="B9:B11"/>
    <mergeCell ref="C9:C11"/>
    <mergeCell ref="D9:D11"/>
    <mergeCell ref="E9:E11"/>
    <mergeCell ref="G9:U9"/>
    <mergeCell ref="V9:AK9"/>
    <mergeCell ref="AM9:AM11"/>
    <mergeCell ref="F10:F11"/>
    <mergeCell ref="G10:T10"/>
    <mergeCell ref="U10:AK10"/>
    <mergeCell ref="AL10:AL11"/>
    <mergeCell ref="B26:AJ26"/>
    <mergeCell ref="B27:AJ27"/>
    <mergeCell ref="B28:AK28"/>
    <mergeCell ref="U16:AC16"/>
    <mergeCell ref="U20:AC20"/>
    <mergeCell ref="B22:AL22"/>
    <mergeCell ref="B23:AL23"/>
    <mergeCell ref="B24:AL24"/>
    <mergeCell ref="B25:AL25"/>
  </mergeCells>
  <pageMargins left="0.7" right="0.7" top="0.75" bottom="0.75" header="0.3" footer="0.3"/>
  <pageSetup paperSize="9" scale="31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C7A6-6CEA-4B04-997C-09973EE90D83}">
  <sheetPr codeName="Sheet12">
    <pageSetUpPr fitToPage="1"/>
  </sheetPr>
  <dimension ref="B1:AM28"/>
  <sheetViews>
    <sheetView topLeftCell="B1" zoomScale="66" zoomScaleNormal="66" workbookViewId="0">
      <selection activeCell="I20" sqref="I20"/>
    </sheetView>
  </sheetViews>
  <sheetFormatPr defaultColWidth="8.7109375" defaultRowHeight="16.5" x14ac:dyDescent="0.25"/>
  <cols>
    <col min="1" max="1" width="3.7109375" style="1" customWidth="1"/>
    <col min="2" max="2" width="5.140625" style="1" customWidth="1"/>
    <col min="3" max="3" width="27.7109375" style="1" customWidth="1"/>
    <col min="4" max="4" width="16.28515625" style="1" customWidth="1"/>
    <col min="5" max="5" width="13.42578125" style="1" customWidth="1"/>
    <col min="6" max="6" width="16.7109375" style="1" customWidth="1"/>
    <col min="7" max="20" width="8.7109375" style="3" customWidth="1"/>
    <col min="21" max="21" width="10.7109375" style="3" customWidth="1"/>
    <col min="22" max="35" width="8.42578125" style="3" customWidth="1"/>
    <col min="36" max="36" width="8.42578125" style="1" customWidth="1"/>
    <col min="37" max="37" width="17.140625" style="1" customWidth="1"/>
    <col min="38" max="38" width="21" style="1" customWidth="1"/>
    <col min="39" max="39" width="20.7109375" style="1" customWidth="1"/>
    <col min="40" max="268" width="8.7109375" style="1"/>
    <col min="269" max="269" width="3.7109375" style="1" customWidth="1"/>
    <col min="270" max="270" width="4.28515625" style="1" customWidth="1"/>
    <col min="271" max="271" width="11.28515625" style="1" customWidth="1"/>
    <col min="272" max="272" width="13.42578125" style="1" customWidth="1"/>
    <col min="273" max="275" width="5.42578125" style="1" customWidth="1"/>
    <col min="276" max="276" width="8.28515625" style="1" customWidth="1"/>
    <col min="277" max="279" width="4.7109375" style="1" customWidth="1"/>
    <col min="280" max="280" width="11.7109375" style="1" customWidth="1"/>
    <col min="281" max="282" width="7" style="1" customWidth="1"/>
    <col min="283" max="283" width="6.42578125" style="1" customWidth="1"/>
    <col min="284" max="284" width="15" style="1" customWidth="1"/>
    <col min="285" max="285" width="5.28515625" style="1" customWidth="1"/>
    <col min="286" max="288" width="4.7109375" style="1" customWidth="1"/>
    <col min="289" max="289" width="11.7109375" style="1" customWidth="1"/>
    <col min="290" max="290" width="10" style="1" customWidth="1"/>
    <col min="291" max="291" width="7.42578125" style="1" customWidth="1"/>
    <col min="292" max="292" width="7.140625" style="1" customWidth="1"/>
    <col min="293" max="293" width="6.42578125" style="1" customWidth="1"/>
    <col min="294" max="524" width="8.7109375" style="1"/>
    <col min="525" max="525" width="3.7109375" style="1" customWidth="1"/>
    <col min="526" max="526" width="4.28515625" style="1" customWidth="1"/>
    <col min="527" max="527" width="11.28515625" style="1" customWidth="1"/>
    <col min="528" max="528" width="13.42578125" style="1" customWidth="1"/>
    <col min="529" max="531" width="5.42578125" style="1" customWidth="1"/>
    <col min="532" max="532" width="8.28515625" style="1" customWidth="1"/>
    <col min="533" max="535" width="4.7109375" style="1" customWidth="1"/>
    <col min="536" max="536" width="11.7109375" style="1" customWidth="1"/>
    <col min="537" max="538" width="7" style="1" customWidth="1"/>
    <col min="539" max="539" width="6.42578125" style="1" customWidth="1"/>
    <col min="540" max="540" width="15" style="1" customWidth="1"/>
    <col min="541" max="541" width="5.28515625" style="1" customWidth="1"/>
    <col min="542" max="544" width="4.7109375" style="1" customWidth="1"/>
    <col min="545" max="545" width="11.7109375" style="1" customWidth="1"/>
    <col min="546" max="546" width="10" style="1" customWidth="1"/>
    <col min="547" max="547" width="7.42578125" style="1" customWidth="1"/>
    <col min="548" max="548" width="7.140625" style="1" customWidth="1"/>
    <col min="549" max="549" width="6.42578125" style="1" customWidth="1"/>
    <col min="550" max="780" width="8.7109375" style="1"/>
    <col min="781" max="781" width="3.7109375" style="1" customWidth="1"/>
    <col min="782" max="782" width="4.28515625" style="1" customWidth="1"/>
    <col min="783" max="783" width="11.28515625" style="1" customWidth="1"/>
    <col min="784" max="784" width="13.42578125" style="1" customWidth="1"/>
    <col min="785" max="787" width="5.42578125" style="1" customWidth="1"/>
    <col min="788" max="788" width="8.28515625" style="1" customWidth="1"/>
    <col min="789" max="791" width="4.7109375" style="1" customWidth="1"/>
    <col min="792" max="792" width="11.7109375" style="1" customWidth="1"/>
    <col min="793" max="794" width="7" style="1" customWidth="1"/>
    <col min="795" max="795" width="6.42578125" style="1" customWidth="1"/>
    <col min="796" max="796" width="15" style="1" customWidth="1"/>
    <col min="797" max="797" width="5.28515625" style="1" customWidth="1"/>
    <col min="798" max="800" width="4.7109375" style="1" customWidth="1"/>
    <col min="801" max="801" width="11.7109375" style="1" customWidth="1"/>
    <col min="802" max="802" width="10" style="1" customWidth="1"/>
    <col min="803" max="803" width="7.42578125" style="1" customWidth="1"/>
    <col min="804" max="804" width="7.140625" style="1" customWidth="1"/>
    <col min="805" max="805" width="6.42578125" style="1" customWidth="1"/>
    <col min="806" max="1036" width="8.7109375" style="1"/>
    <col min="1037" max="1037" width="3.7109375" style="1" customWidth="1"/>
    <col min="1038" max="1038" width="4.28515625" style="1" customWidth="1"/>
    <col min="1039" max="1039" width="11.28515625" style="1" customWidth="1"/>
    <col min="1040" max="1040" width="13.42578125" style="1" customWidth="1"/>
    <col min="1041" max="1043" width="5.42578125" style="1" customWidth="1"/>
    <col min="1044" max="1044" width="8.28515625" style="1" customWidth="1"/>
    <col min="1045" max="1047" width="4.7109375" style="1" customWidth="1"/>
    <col min="1048" max="1048" width="11.7109375" style="1" customWidth="1"/>
    <col min="1049" max="1050" width="7" style="1" customWidth="1"/>
    <col min="1051" max="1051" width="6.42578125" style="1" customWidth="1"/>
    <col min="1052" max="1052" width="15" style="1" customWidth="1"/>
    <col min="1053" max="1053" width="5.28515625" style="1" customWidth="1"/>
    <col min="1054" max="1056" width="4.7109375" style="1" customWidth="1"/>
    <col min="1057" max="1057" width="11.7109375" style="1" customWidth="1"/>
    <col min="1058" max="1058" width="10" style="1" customWidth="1"/>
    <col min="1059" max="1059" width="7.42578125" style="1" customWidth="1"/>
    <col min="1060" max="1060" width="7.140625" style="1" customWidth="1"/>
    <col min="1061" max="1061" width="6.42578125" style="1" customWidth="1"/>
    <col min="1062" max="1292" width="8.7109375" style="1"/>
    <col min="1293" max="1293" width="3.7109375" style="1" customWidth="1"/>
    <col min="1294" max="1294" width="4.28515625" style="1" customWidth="1"/>
    <col min="1295" max="1295" width="11.28515625" style="1" customWidth="1"/>
    <col min="1296" max="1296" width="13.42578125" style="1" customWidth="1"/>
    <col min="1297" max="1299" width="5.42578125" style="1" customWidth="1"/>
    <col min="1300" max="1300" width="8.28515625" style="1" customWidth="1"/>
    <col min="1301" max="1303" width="4.7109375" style="1" customWidth="1"/>
    <col min="1304" max="1304" width="11.7109375" style="1" customWidth="1"/>
    <col min="1305" max="1306" width="7" style="1" customWidth="1"/>
    <col min="1307" max="1307" width="6.42578125" style="1" customWidth="1"/>
    <col min="1308" max="1308" width="15" style="1" customWidth="1"/>
    <col min="1309" max="1309" width="5.28515625" style="1" customWidth="1"/>
    <col min="1310" max="1312" width="4.7109375" style="1" customWidth="1"/>
    <col min="1313" max="1313" width="11.7109375" style="1" customWidth="1"/>
    <col min="1314" max="1314" width="10" style="1" customWidth="1"/>
    <col min="1315" max="1315" width="7.42578125" style="1" customWidth="1"/>
    <col min="1316" max="1316" width="7.140625" style="1" customWidth="1"/>
    <col min="1317" max="1317" width="6.42578125" style="1" customWidth="1"/>
    <col min="1318" max="1548" width="8.7109375" style="1"/>
    <col min="1549" max="1549" width="3.7109375" style="1" customWidth="1"/>
    <col min="1550" max="1550" width="4.28515625" style="1" customWidth="1"/>
    <col min="1551" max="1551" width="11.28515625" style="1" customWidth="1"/>
    <col min="1552" max="1552" width="13.42578125" style="1" customWidth="1"/>
    <col min="1553" max="1555" width="5.42578125" style="1" customWidth="1"/>
    <col min="1556" max="1556" width="8.28515625" style="1" customWidth="1"/>
    <col min="1557" max="1559" width="4.7109375" style="1" customWidth="1"/>
    <col min="1560" max="1560" width="11.7109375" style="1" customWidth="1"/>
    <col min="1561" max="1562" width="7" style="1" customWidth="1"/>
    <col min="1563" max="1563" width="6.42578125" style="1" customWidth="1"/>
    <col min="1564" max="1564" width="15" style="1" customWidth="1"/>
    <col min="1565" max="1565" width="5.28515625" style="1" customWidth="1"/>
    <col min="1566" max="1568" width="4.7109375" style="1" customWidth="1"/>
    <col min="1569" max="1569" width="11.7109375" style="1" customWidth="1"/>
    <col min="1570" max="1570" width="10" style="1" customWidth="1"/>
    <col min="1571" max="1571" width="7.42578125" style="1" customWidth="1"/>
    <col min="1572" max="1572" width="7.140625" style="1" customWidth="1"/>
    <col min="1573" max="1573" width="6.42578125" style="1" customWidth="1"/>
    <col min="1574" max="1804" width="8.7109375" style="1"/>
    <col min="1805" max="1805" width="3.7109375" style="1" customWidth="1"/>
    <col min="1806" max="1806" width="4.28515625" style="1" customWidth="1"/>
    <col min="1807" max="1807" width="11.28515625" style="1" customWidth="1"/>
    <col min="1808" max="1808" width="13.42578125" style="1" customWidth="1"/>
    <col min="1809" max="1811" width="5.42578125" style="1" customWidth="1"/>
    <col min="1812" max="1812" width="8.28515625" style="1" customWidth="1"/>
    <col min="1813" max="1815" width="4.7109375" style="1" customWidth="1"/>
    <col min="1816" max="1816" width="11.7109375" style="1" customWidth="1"/>
    <col min="1817" max="1818" width="7" style="1" customWidth="1"/>
    <col min="1819" max="1819" width="6.42578125" style="1" customWidth="1"/>
    <col min="1820" max="1820" width="15" style="1" customWidth="1"/>
    <col min="1821" max="1821" width="5.28515625" style="1" customWidth="1"/>
    <col min="1822" max="1824" width="4.7109375" style="1" customWidth="1"/>
    <col min="1825" max="1825" width="11.7109375" style="1" customWidth="1"/>
    <col min="1826" max="1826" width="10" style="1" customWidth="1"/>
    <col min="1827" max="1827" width="7.42578125" style="1" customWidth="1"/>
    <col min="1828" max="1828" width="7.140625" style="1" customWidth="1"/>
    <col min="1829" max="1829" width="6.42578125" style="1" customWidth="1"/>
    <col min="1830" max="2060" width="8.7109375" style="1"/>
    <col min="2061" max="2061" width="3.7109375" style="1" customWidth="1"/>
    <col min="2062" max="2062" width="4.28515625" style="1" customWidth="1"/>
    <col min="2063" max="2063" width="11.28515625" style="1" customWidth="1"/>
    <col min="2064" max="2064" width="13.42578125" style="1" customWidth="1"/>
    <col min="2065" max="2067" width="5.42578125" style="1" customWidth="1"/>
    <col min="2068" max="2068" width="8.28515625" style="1" customWidth="1"/>
    <col min="2069" max="2071" width="4.7109375" style="1" customWidth="1"/>
    <col min="2072" max="2072" width="11.7109375" style="1" customWidth="1"/>
    <col min="2073" max="2074" width="7" style="1" customWidth="1"/>
    <col min="2075" max="2075" width="6.42578125" style="1" customWidth="1"/>
    <col min="2076" max="2076" width="15" style="1" customWidth="1"/>
    <col min="2077" max="2077" width="5.28515625" style="1" customWidth="1"/>
    <col min="2078" max="2080" width="4.7109375" style="1" customWidth="1"/>
    <col min="2081" max="2081" width="11.7109375" style="1" customWidth="1"/>
    <col min="2082" max="2082" width="10" style="1" customWidth="1"/>
    <col min="2083" max="2083" width="7.42578125" style="1" customWidth="1"/>
    <col min="2084" max="2084" width="7.140625" style="1" customWidth="1"/>
    <col min="2085" max="2085" width="6.42578125" style="1" customWidth="1"/>
    <col min="2086" max="2316" width="8.7109375" style="1"/>
    <col min="2317" max="2317" width="3.7109375" style="1" customWidth="1"/>
    <col min="2318" max="2318" width="4.28515625" style="1" customWidth="1"/>
    <col min="2319" max="2319" width="11.28515625" style="1" customWidth="1"/>
    <col min="2320" max="2320" width="13.42578125" style="1" customWidth="1"/>
    <col min="2321" max="2323" width="5.42578125" style="1" customWidth="1"/>
    <col min="2324" max="2324" width="8.28515625" style="1" customWidth="1"/>
    <col min="2325" max="2327" width="4.7109375" style="1" customWidth="1"/>
    <col min="2328" max="2328" width="11.7109375" style="1" customWidth="1"/>
    <col min="2329" max="2330" width="7" style="1" customWidth="1"/>
    <col min="2331" max="2331" width="6.42578125" style="1" customWidth="1"/>
    <col min="2332" max="2332" width="15" style="1" customWidth="1"/>
    <col min="2333" max="2333" width="5.28515625" style="1" customWidth="1"/>
    <col min="2334" max="2336" width="4.7109375" style="1" customWidth="1"/>
    <col min="2337" max="2337" width="11.7109375" style="1" customWidth="1"/>
    <col min="2338" max="2338" width="10" style="1" customWidth="1"/>
    <col min="2339" max="2339" width="7.42578125" style="1" customWidth="1"/>
    <col min="2340" max="2340" width="7.140625" style="1" customWidth="1"/>
    <col min="2341" max="2341" width="6.42578125" style="1" customWidth="1"/>
    <col min="2342" max="2572" width="8.7109375" style="1"/>
    <col min="2573" max="2573" width="3.7109375" style="1" customWidth="1"/>
    <col min="2574" max="2574" width="4.28515625" style="1" customWidth="1"/>
    <col min="2575" max="2575" width="11.28515625" style="1" customWidth="1"/>
    <col min="2576" max="2576" width="13.42578125" style="1" customWidth="1"/>
    <col min="2577" max="2579" width="5.42578125" style="1" customWidth="1"/>
    <col min="2580" max="2580" width="8.28515625" style="1" customWidth="1"/>
    <col min="2581" max="2583" width="4.7109375" style="1" customWidth="1"/>
    <col min="2584" max="2584" width="11.7109375" style="1" customWidth="1"/>
    <col min="2585" max="2586" width="7" style="1" customWidth="1"/>
    <col min="2587" max="2587" width="6.42578125" style="1" customWidth="1"/>
    <col min="2588" max="2588" width="15" style="1" customWidth="1"/>
    <col min="2589" max="2589" width="5.28515625" style="1" customWidth="1"/>
    <col min="2590" max="2592" width="4.7109375" style="1" customWidth="1"/>
    <col min="2593" max="2593" width="11.7109375" style="1" customWidth="1"/>
    <col min="2594" max="2594" width="10" style="1" customWidth="1"/>
    <col min="2595" max="2595" width="7.42578125" style="1" customWidth="1"/>
    <col min="2596" max="2596" width="7.140625" style="1" customWidth="1"/>
    <col min="2597" max="2597" width="6.42578125" style="1" customWidth="1"/>
    <col min="2598" max="2828" width="8.7109375" style="1"/>
    <col min="2829" max="2829" width="3.7109375" style="1" customWidth="1"/>
    <col min="2830" max="2830" width="4.28515625" style="1" customWidth="1"/>
    <col min="2831" max="2831" width="11.28515625" style="1" customWidth="1"/>
    <col min="2832" max="2832" width="13.42578125" style="1" customWidth="1"/>
    <col min="2833" max="2835" width="5.42578125" style="1" customWidth="1"/>
    <col min="2836" max="2836" width="8.28515625" style="1" customWidth="1"/>
    <col min="2837" max="2839" width="4.7109375" style="1" customWidth="1"/>
    <col min="2840" max="2840" width="11.7109375" style="1" customWidth="1"/>
    <col min="2841" max="2842" width="7" style="1" customWidth="1"/>
    <col min="2843" max="2843" width="6.42578125" style="1" customWidth="1"/>
    <col min="2844" max="2844" width="15" style="1" customWidth="1"/>
    <col min="2845" max="2845" width="5.28515625" style="1" customWidth="1"/>
    <col min="2846" max="2848" width="4.7109375" style="1" customWidth="1"/>
    <col min="2849" max="2849" width="11.7109375" style="1" customWidth="1"/>
    <col min="2850" max="2850" width="10" style="1" customWidth="1"/>
    <col min="2851" max="2851" width="7.42578125" style="1" customWidth="1"/>
    <col min="2852" max="2852" width="7.140625" style="1" customWidth="1"/>
    <col min="2853" max="2853" width="6.42578125" style="1" customWidth="1"/>
    <col min="2854" max="3084" width="8.7109375" style="1"/>
    <col min="3085" max="3085" width="3.7109375" style="1" customWidth="1"/>
    <col min="3086" max="3086" width="4.28515625" style="1" customWidth="1"/>
    <col min="3087" max="3087" width="11.28515625" style="1" customWidth="1"/>
    <col min="3088" max="3088" width="13.42578125" style="1" customWidth="1"/>
    <col min="3089" max="3091" width="5.42578125" style="1" customWidth="1"/>
    <col min="3092" max="3092" width="8.28515625" style="1" customWidth="1"/>
    <col min="3093" max="3095" width="4.7109375" style="1" customWidth="1"/>
    <col min="3096" max="3096" width="11.7109375" style="1" customWidth="1"/>
    <col min="3097" max="3098" width="7" style="1" customWidth="1"/>
    <col min="3099" max="3099" width="6.42578125" style="1" customWidth="1"/>
    <col min="3100" max="3100" width="15" style="1" customWidth="1"/>
    <col min="3101" max="3101" width="5.28515625" style="1" customWidth="1"/>
    <col min="3102" max="3104" width="4.7109375" style="1" customWidth="1"/>
    <col min="3105" max="3105" width="11.7109375" style="1" customWidth="1"/>
    <col min="3106" max="3106" width="10" style="1" customWidth="1"/>
    <col min="3107" max="3107" width="7.42578125" style="1" customWidth="1"/>
    <col min="3108" max="3108" width="7.140625" style="1" customWidth="1"/>
    <col min="3109" max="3109" width="6.42578125" style="1" customWidth="1"/>
    <col min="3110" max="3340" width="8.7109375" style="1"/>
    <col min="3341" max="3341" width="3.7109375" style="1" customWidth="1"/>
    <col min="3342" max="3342" width="4.28515625" style="1" customWidth="1"/>
    <col min="3343" max="3343" width="11.28515625" style="1" customWidth="1"/>
    <col min="3344" max="3344" width="13.42578125" style="1" customWidth="1"/>
    <col min="3345" max="3347" width="5.42578125" style="1" customWidth="1"/>
    <col min="3348" max="3348" width="8.28515625" style="1" customWidth="1"/>
    <col min="3349" max="3351" width="4.7109375" style="1" customWidth="1"/>
    <col min="3352" max="3352" width="11.7109375" style="1" customWidth="1"/>
    <col min="3353" max="3354" width="7" style="1" customWidth="1"/>
    <col min="3355" max="3355" width="6.42578125" style="1" customWidth="1"/>
    <col min="3356" max="3356" width="15" style="1" customWidth="1"/>
    <col min="3357" max="3357" width="5.28515625" style="1" customWidth="1"/>
    <col min="3358" max="3360" width="4.7109375" style="1" customWidth="1"/>
    <col min="3361" max="3361" width="11.7109375" style="1" customWidth="1"/>
    <col min="3362" max="3362" width="10" style="1" customWidth="1"/>
    <col min="3363" max="3363" width="7.42578125" style="1" customWidth="1"/>
    <col min="3364" max="3364" width="7.140625" style="1" customWidth="1"/>
    <col min="3365" max="3365" width="6.42578125" style="1" customWidth="1"/>
    <col min="3366" max="3596" width="8.7109375" style="1"/>
    <col min="3597" max="3597" width="3.7109375" style="1" customWidth="1"/>
    <col min="3598" max="3598" width="4.28515625" style="1" customWidth="1"/>
    <col min="3599" max="3599" width="11.28515625" style="1" customWidth="1"/>
    <col min="3600" max="3600" width="13.42578125" style="1" customWidth="1"/>
    <col min="3601" max="3603" width="5.42578125" style="1" customWidth="1"/>
    <col min="3604" max="3604" width="8.28515625" style="1" customWidth="1"/>
    <col min="3605" max="3607" width="4.7109375" style="1" customWidth="1"/>
    <col min="3608" max="3608" width="11.7109375" style="1" customWidth="1"/>
    <col min="3609" max="3610" width="7" style="1" customWidth="1"/>
    <col min="3611" max="3611" width="6.42578125" style="1" customWidth="1"/>
    <col min="3612" max="3612" width="15" style="1" customWidth="1"/>
    <col min="3613" max="3613" width="5.28515625" style="1" customWidth="1"/>
    <col min="3614" max="3616" width="4.7109375" style="1" customWidth="1"/>
    <col min="3617" max="3617" width="11.7109375" style="1" customWidth="1"/>
    <col min="3618" max="3618" width="10" style="1" customWidth="1"/>
    <col min="3619" max="3619" width="7.42578125" style="1" customWidth="1"/>
    <col min="3620" max="3620" width="7.140625" style="1" customWidth="1"/>
    <col min="3621" max="3621" width="6.42578125" style="1" customWidth="1"/>
    <col min="3622" max="3852" width="8.7109375" style="1"/>
    <col min="3853" max="3853" width="3.7109375" style="1" customWidth="1"/>
    <col min="3854" max="3854" width="4.28515625" style="1" customWidth="1"/>
    <col min="3855" max="3855" width="11.28515625" style="1" customWidth="1"/>
    <col min="3856" max="3856" width="13.42578125" style="1" customWidth="1"/>
    <col min="3857" max="3859" width="5.42578125" style="1" customWidth="1"/>
    <col min="3860" max="3860" width="8.28515625" style="1" customWidth="1"/>
    <col min="3861" max="3863" width="4.7109375" style="1" customWidth="1"/>
    <col min="3864" max="3864" width="11.7109375" style="1" customWidth="1"/>
    <col min="3865" max="3866" width="7" style="1" customWidth="1"/>
    <col min="3867" max="3867" width="6.42578125" style="1" customWidth="1"/>
    <col min="3868" max="3868" width="15" style="1" customWidth="1"/>
    <col min="3869" max="3869" width="5.28515625" style="1" customWidth="1"/>
    <col min="3870" max="3872" width="4.7109375" style="1" customWidth="1"/>
    <col min="3873" max="3873" width="11.7109375" style="1" customWidth="1"/>
    <col min="3874" max="3874" width="10" style="1" customWidth="1"/>
    <col min="3875" max="3875" width="7.42578125" style="1" customWidth="1"/>
    <col min="3876" max="3876" width="7.140625" style="1" customWidth="1"/>
    <col min="3877" max="3877" width="6.42578125" style="1" customWidth="1"/>
    <col min="3878" max="4108" width="8.7109375" style="1"/>
    <col min="4109" max="4109" width="3.7109375" style="1" customWidth="1"/>
    <col min="4110" max="4110" width="4.28515625" style="1" customWidth="1"/>
    <col min="4111" max="4111" width="11.28515625" style="1" customWidth="1"/>
    <col min="4112" max="4112" width="13.42578125" style="1" customWidth="1"/>
    <col min="4113" max="4115" width="5.42578125" style="1" customWidth="1"/>
    <col min="4116" max="4116" width="8.28515625" style="1" customWidth="1"/>
    <col min="4117" max="4119" width="4.7109375" style="1" customWidth="1"/>
    <col min="4120" max="4120" width="11.7109375" style="1" customWidth="1"/>
    <col min="4121" max="4122" width="7" style="1" customWidth="1"/>
    <col min="4123" max="4123" width="6.42578125" style="1" customWidth="1"/>
    <col min="4124" max="4124" width="15" style="1" customWidth="1"/>
    <col min="4125" max="4125" width="5.28515625" style="1" customWidth="1"/>
    <col min="4126" max="4128" width="4.7109375" style="1" customWidth="1"/>
    <col min="4129" max="4129" width="11.7109375" style="1" customWidth="1"/>
    <col min="4130" max="4130" width="10" style="1" customWidth="1"/>
    <col min="4131" max="4131" width="7.42578125" style="1" customWidth="1"/>
    <col min="4132" max="4132" width="7.140625" style="1" customWidth="1"/>
    <col min="4133" max="4133" width="6.42578125" style="1" customWidth="1"/>
    <col min="4134" max="4364" width="8.7109375" style="1"/>
    <col min="4365" max="4365" width="3.7109375" style="1" customWidth="1"/>
    <col min="4366" max="4366" width="4.28515625" style="1" customWidth="1"/>
    <col min="4367" max="4367" width="11.28515625" style="1" customWidth="1"/>
    <col min="4368" max="4368" width="13.42578125" style="1" customWidth="1"/>
    <col min="4369" max="4371" width="5.42578125" style="1" customWidth="1"/>
    <col min="4372" max="4372" width="8.28515625" style="1" customWidth="1"/>
    <col min="4373" max="4375" width="4.7109375" style="1" customWidth="1"/>
    <col min="4376" max="4376" width="11.7109375" style="1" customWidth="1"/>
    <col min="4377" max="4378" width="7" style="1" customWidth="1"/>
    <col min="4379" max="4379" width="6.42578125" style="1" customWidth="1"/>
    <col min="4380" max="4380" width="15" style="1" customWidth="1"/>
    <col min="4381" max="4381" width="5.28515625" style="1" customWidth="1"/>
    <col min="4382" max="4384" width="4.7109375" style="1" customWidth="1"/>
    <col min="4385" max="4385" width="11.7109375" style="1" customWidth="1"/>
    <col min="4386" max="4386" width="10" style="1" customWidth="1"/>
    <col min="4387" max="4387" width="7.42578125" style="1" customWidth="1"/>
    <col min="4388" max="4388" width="7.140625" style="1" customWidth="1"/>
    <col min="4389" max="4389" width="6.42578125" style="1" customWidth="1"/>
    <col min="4390" max="4620" width="8.7109375" style="1"/>
    <col min="4621" max="4621" width="3.7109375" style="1" customWidth="1"/>
    <col min="4622" max="4622" width="4.28515625" style="1" customWidth="1"/>
    <col min="4623" max="4623" width="11.28515625" style="1" customWidth="1"/>
    <col min="4624" max="4624" width="13.42578125" style="1" customWidth="1"/>
    <col min="4625" max="4627" width="5.42578125" style="1" customWidth="1"/>
    <col min="4628" max="4628" width="8.28515625" style="1" customWidth="1"/>
    <col min="4629" max="4631" width="4.7109375" style="1" customWidth="1"/>
    <col min="4632" max="4632" width="11.7109375" style="1" customWidth="1"/>
    <col min="4633" max="4634" width="7" style="1" customWidth="1"/>
    <col min="4635" max="4635" width="6.42578125" style="1" customWidth="1"/>
    <col min="4636" max="4636" width="15" style="1" customWidth="1"/>
    <col min="4637" max="4637" width="5.28515625" style="1" customWidth="1"/>
    <col min="4638" max="4640" width="4.7109375" style="1" customWidth="1"/>
    <col min="4641" max="4641" width="11.7109375" style="1" customWidth="1"/>
    <col min="4642" max="4642" width="10" style="1" customWidth="1"/>
    <col min="4643" max="4643" width="7.42578125" style="1" customWidth="1"/>
    <col min="4644" max="4644" width="7.140625" style="1" customWidth="1"/>
    <col min="4645" max="4645" width="6.42578125" style="1" customWidth="1"/>
    <col min="4646" max="4876" width="8.7109375" style="1"/>
    <col min="4877" max="4877" width="3.7109375" style="1" customWidth="1"/>
    <col min="4878" max="4878" width="4.28515625" style="1" customWidth="1"/>
    <col min="4879" max="4879" width="11.28515625" style="1" customWidth="1"/>
    <col min="4880" max="4880" width="13.42578125" style="1" customWidth="1"/>
    <col min="4881" max="4883" width="5.42578125" style="1" customWidth="1"/>
    <col min="4884" max="4884" width="8.28515625" style="1" customWidth="1"/>
    <col min="4885" max="4887" width="4.7109375" style="1" customWidth="1"/>
    <col min="4888" max="4888" width="11.7109375" style="1" customWidth="1"/>
    <col min="4889" max="4890" width="7" style="1" customWidth="1"/>
    <col min="4891" max="4891" width="6.42578125" style="1" customWidth="1"/>
    <col min="4892" max="4892" width="15" style="1" customWidth="1"/>
    <col min="4893" max="4893" width="5.28515625" style="1" customWidth="1"/>
    <col min="4894" max="4896" width="4.7109375" style="1" customWidth="1"/>
    <col min="4897" max="4897" width="11.7109375" style="1" customWidth="1"/>
    <col min="4898" max="4898" width="10" style="1" customWidth="1"/>
    <col min="4899" max="4899" width="7.42578125" style="1" customWidth="1"/>
    <col min="4900" max="4900" width="7.140625" style="1" customWidth="1"/>
    <col min="4901" max="4901" width="6.42578125" style="1" customWidth="1"/>
    <col min="4902" max="5132" width="8.7109375" style="1"/>
    <col min="5133" max="5133" width="3.7109375" style="1" customWidth="1"/>
    <col min="5134" max="5134" width="4.28515625" style="1" customWidth="1"/>
    <col min="5135" max="5135" width="11.28515625" style="1" customWidth="1"/>
    <col min="5136" max="5136" width="13.42578125" style="1" customWidth="1"/>
    <col min="5137" max="5139" width="5.42578125" style="1" customWidth="1"/>
    <col min="5140" max="5140" width="8.28515625" style="1" customWidth="1"/>
    <col min="5141" max="5143" width="4.7109375" style="1" customWidth="1"/>
    <col min="5144" max="5144" width="11.7109375" style="1" customWidth="1"/>
    <col min="5145" max="5146" width="7" style="1" customWidth="1"/>
    <col min="5147" max="5147" width="6.42578125" style="1" customWidth="1"/>
    <col min="5148" max="5148" width="15" style="1" customWidth="1"/>
    <col min="5149" max="5149" width="5.28515625" style="1" customWidth="1"/>
    <col min="5150" max="5152" width="4.7109375" style="1" customWidth="1"/>
    <col min="5153" max="5153" width="11.7109375" style="1" customWidth="1"/>
    <col min="5154" max="5154" width="10" style="1" customWidth="1"/>
    <col min="5155" max="5155" width="7.42578125" style="1" customWidth="1"/>
    <col min="5156" max="5156" width="7.140625" style="1" customWidth="1"/>
    <col min="5157" max="5157" width="6.42578125" style="1" customWidth="1"/>
    <col min="5158" max="5388" width="8.7109375" style="1"/>
    <col min="5389" max="5389" width="3.7109375" style="1" customWidth="1"/>
    <col min="5390" max="5390" width="4.28515625" style="1" customWidth="1"/>
    <col min="5391" max="5391" width="11.28515625" style="1" customWidth="1"/>
    <col min="5392" max="5392" width="13.42578125" style="1" customWidth="1"/>
    <col min="5393" max="5395" width="5.42578125" style="1" customWidth="1"/>
    <col min="5396" max="5396" width="8.28515625" style="1" customWidth="1"/>
    <col min="5397" max="5399" width="4.7109375" style="1" customWidth="1"/>
    <col min="5400" max="5400" width="11.7109375" style="1" customWidth="1"/>
    <col min="5401" max="5402" width="7" style="1" customWidth="1"/>
    <col min="5403" max="5403" width="6.42578125" style="1" customWidth="1"/>
    <col min="5404" max="5404" width="15" style="1" customWidth="1"/>
    <col min="5405" max="5405" width="5.28515625" style="1" customWidth="1"/>
    <col min="5406" max="5408" width="4.7109375" style="1" customWidth="1"/>
    <col min="5409" max="5409" width="11.7109375" style="1" customWidth="1"/>
    <col min="5410" max="5410" width="10" style="1" customWidth="1"/>
    <col min="5411" max="5411" width="7.42578125" style="1" customWidth="1"/>
    <col min="5412" max="5412" width="7.140625" style="1" customWidth="1"/>
    <col min="5413" max="5413" width="6.42578125" style="1" customWidth="1"/>
    <col min="5414" max="5644" width="8.7109375" style="1"/>
    <col min="5645" max="5645" width="3.7109375" style="1" customWidth="1"/>
    <col min="5646" max="5646" width="4.28515625" style="1" customWidth="1"/>
    <col min="5647" max="5647" width="11.28515625" style="1" customWidth="1"/>
    <col min="5648" max="5648" width="13.42578125" style="1" customWidth="1"/>
    <col min="5649" max="5651" width="5.42578125" style="1" customWidth="1"/>
    <col min="5652" max="5652" width="8.28515625" style="1" customWidth="1"/>
    <col min="5653" max="5655" width="4.7109375" style="1" customWidth="1"/>
    <col min="5656" max="5656" width="11.7109375" style="1" customWidth="1"/>
    <col min="5657" max="5658" width="7" style="1" customWidth="1"/>
    <col min="5659" max="5659" width="6.42578125" style="1" customWidth="1"/>
    <col min="5660" max="5660" width="15" style="1" customWidth="1"/>
    <col min="5661" max="5661" width="5.28515625" style="1" customWidth="1"/>
    <col min="5662" max="5664" width="4.7109375" style="1" customWidth="1"/>
    <col min="5665" max="5665" width="11.7109375" style="1" customWidth="1"/>
    <col min="5666" max="5666" width="10" style="1" customWidth="1"/>
    <col min="5667" max="5667" width="7.42578125" style="1" customWidth="1"/>
    <col min="5668" max="5668" width="7.140625" style="1" customWidth="1"/>
    <col min="5669" max="5669" width="6.42578125" style="1" customWidth="1"/>
    <col min="5670" max="5900" width="8.7109375" style="1"/>
    <col min="5901" max="5901" width="3.7109375" style="1" customWidth="1"/>
    <col min="5902" max="5902" width="4.28515625" style="1" customWidth="1"/>
    <col min="5903" max="5903" width="11.28515625" style="1" customWidth="1"/>
    <col min="5904" max="5904" width="13.42578125" style="1" customWidth="1"/>
    <col min="5905" max="5907" width="5.42578125" style="1" customWidth="1"/>
    <col min="5908" max="5908" width="8.28515625" style="1" customWidth="1"/>
    <col min="5909" max="5911" width="4.7109375" style="1" customWidth="1"/>
    <col min="5912" max="5912" width="11.7109375" style="1" customWidth="1"/>
    <col min="5913" max="5914" width="7" style="1" customWidth="1"/>
    <col min="5915" max="5915" width="6.42578125" style="1" customWidth="1"/>
    <col min="5916" max="5916" width="15" style="1" customWidth="1"/>
    <col min="5917" max="5917" width="5.28515625" style="1" customWidth="1"/>
    <col min="5918" max="5920" width="4.7109375" style="1" customWidth="1"/>
    <col min="5921" max="5921" width="11.7109375" style="1" customWidth="1"/>
    <col min="5922" max="5922" width="10" style="1" customWidth="1"/>
    <col min="5923" max="5923" width="7.42578125" style="1" customWidth="1"/>
    <col min="5924" max="5924" width="7.140625" style="1" customWidth="1"/>
    <col min="5925" max="5925" width="6.42578125" style="1" customWidth="1"/>
    <col min="5926" max="6156" width="8.7109375" style="1"/>
    <col min="6157" max="6157" width="3.7109375" style="1" customWidth="1"/>
    <col min="6158" max="6158" width="4.28515625" style="1" customWidth="1"/>
    <col min="6159" max="6159" width="11.28515625" style="1" customWidth="1"/>
    <col min="6160" max="6160" width="13.42578125" style="1" customWidth="1"/>
    <col min="6161" max="6163" width="5.42578125" style="1" customWidth="1"/>
    <col min="6164" max="6164" width="8.28515625" style="1" customWidth="1"/>
    <col min="6165" max="6167" width="4.7109375" style="1" customWidth="1"/>
    <col min="6168" max="6168" width="11.7109375" style="1" customWidth="1"/>
    <col min="6169" max="6170" width="7" style="1" customWidth="1"/>
    <col min="6171" max="6171" width="6.42578125" style="1" customWidth="1"/>
    <col min="6172" max="6172" width="15" style="1" customWidth="1"/>
    <col min="6173" max="6173" width="5.28515625" style="1" customWidth="1"/>
    <col min="6174" max="6176" width="4.7109375" style="1" customWidth="1"/>
    <col min="6177" max="6177" width="11.7109375" style="1" customWidth="1"/>
    <col min="6178" max="6178" width="10" style="1" customWidth="1"/>
    <col min="6179" max="6179" width="7.42578125" style="1" customWidth="1"/>
    <col min="6180" max="6180" width="7.140625" style="1" customWidth="1"/>
    <col min="6181" max="6181" width="6.42578125" style="1" customWidth="1"/>
    <col min="6182" max="6412" width="8.7109375" style="1"/>
    <col min="6413" max="6413" width="3.7109375" style="1" customWidth="1"/>
    <col min="6414" max="6414" width="4.28515625" style="1" customWidth="1"/>
    <col min="6415" max="6415" width="11.28515625" style="1" customWidth="1"/>
    <col min="6416" max="6416" width="13.42578125" style="1" customWidth="1"/>
    <col min="6417" max="6419" width="5.42578125" style="1" customWidth="1"/>
    <col min="6420" max="6420" width="8.28515625" style="1" customWidth="1"/>
    <col min="6421" max="6423" width="4.7109375" style="1" customWidth="1"/>
    <col min="6424" max="6424" width="11.7109375" style="1" customWidth="1"/>
    <col min="6425" max="6426" width="7" style="1" customWidth="1"/>
    <col min="6427" max="6427" width="6.42578125" style="1" customWidth="1"/>
    <col min="6428" max="6428" width="15" style="1" customWidth="1"/>
    <col min="6429" max="6429" width="5.28515625" style="1" customWidth="1"/>
    <col min="6430" max="6432" width="4.7109375" style="1" customWidth="1"/>
    <col min="6433" max="6433" width="11.7109375" style="1" customWidth="1"/>
    <col min="6434" max="6434" width="10" style="1" customWidth="1"/>
    <col min="6435" max="6435" width="7.42578125" style="1" customWidth="1"/>
    <col min="6436" max="6436" width="7.140625" style="1" customWidth="1"/>
    <col min="6437" max="6437" width="6.42578125" style="1" customWidth="1"/>
    <col min="6438" max="6668" width="8.7109375" style="1"/>
    <col min="6669" max="6669" width="3.7109375" style="1" customWidth="1"/>
    <col min="6670" max="6670" width="4.28515625" style="1" customWidth="1"/>
    <col min="6671" max="6671" width="11.28515625" style="1" customWidth="1"/>
    <col min="6672" max="6672" width="13.42578125" style="1" customWidth="1"/>
    <col min="6673" max="6675" width="5.42578125" style="1" customWidth="1"/>
    <col min="6676" max="6676" width="8.28515625" style="1" customWidth="1"/>
    <col min="6677" max="6679" width="4.7109375" style="1" customWidth="1"/>
    <col min="6680" max="6680" width="11.7109375" style="1" customWidth="1"/>
    <col min="6681" max="6682" width="7" style="1" customWidth="1"/>
    <col min="6683" max="6683" width="6.42578125" style="1" customWidth="1"/>
    <col min="6684" max="6684" width="15" style="1" customWidth="1"/>
    <col min="6685" max="6685" width="5.28515625" style="1" customWidth="1"/>
    <col min="6686" max="6688" width="4.7109375" style="1" customWidth="1"/>
    <col min="6689" max="6689" width="11.7109375" style="1" customWidth="1"/>
    <col min="6690" max="6690" width="10" style="1" customWidth="1"/>
    <col min="6691" max="6691" width="7.42578125" style="1" customWidth="1"/>
    <col min="6692" max="6692" width="7.140625" style="1" customWidth="1"/>
    <col min="6693" max="6693" width="6.42578125" style="1" customWidth="1"/>
    <col min="6694" max="6924" width="8.7109375" style="1"/>
    <col min="6925" max="6925" width="3.7109375" style="1" customWidth="1"/>
    <col min="6926" max="6926" width="4.28515625" style="1" customWidth="1"/>
    <col min="6927" max="6927" width="11.28515625" style="1" customWidth="1"/>
    <col min="6928" max="6928" width="13.42578125" style="1" customWidth="1"/>
    <col min="6929" max="6931" width="5.42578125" style="1" customWidth="1"/>
    <col min="6932" max="6932" width="8.28515625" style="1" customWidth="1"/>
    <col min="6933" max="6935" width="4.7109375" style="1" customWidth="1"/>
    <col min="6936" max="6936" width="11.7109375" style="1" customWidth="1"/>
    <col min="6937" max="6938" width="7" style="1" customWidth="1"/>
    <col min="6939" max="6939" width="6.42578125" style="1" customWidth="1"/>
    <col min="6940" max="6940" width="15" style="1" customWidth="1"/>
    <col min="6941" max="6941" width="5.28515625" style="1" customWidth="1"/>
    <col min="6942" max="6944" width="4.7109375" style="1" customWidth="1"/>
    <col min="6945" max="6945" width="11.7109375" style="1" customWidth="1"/>
    <col min="6946" max="6946" width="10" style="1" customWidth="1"/>
    <col min="6947" max="6947" width="7.42578125" style="1" customWidth="1"/>
    <col min="6948" max="6948" width="7.140625" style="1" customWidth="1"/>
    <col min="6949" max="6949" width="6.42578125" style="1" customWidth="1"/>
    <col min="6950" max="7180" width="8.7109375" style="1"/>
    <col min="7181" max="7181" width="3.7109375" style="1" customWidth="1"/>
    <col min="7182" max="7182" width="4.28515625" style="1" customWidth="1"/>
    <col min="7183" max="7183" width="11.28515625" style="1" customWidth="1"/>
    <col min="7184" max="7184" width="13.42578125" style="1" customWidth="1"/>
    <col min="7185" max="7187" width="5.42578125" style="1" customWidth="1"/>
    <col min="7188" max="7188" width="8.28515625" style="1" customWidth="1"/>
    <col min="7189" max="7191" width="4.7109375" style="1" customWidth="1"/>
    <col min="7192" max="7192" width="11.7109375" style="1" customWidth="1"/>
    <col min="7193" max="7194" width="7" style="1" customWidth="1"/>
    <col min="7195" max="7195" width="6.42578125" style="1" customWidth="1"/>
    <col min="7196" max="7196" width="15" style="1" customWidth="1"/>
    <col min="7197" max="7197" width="5.28515625" style="1" customWidth="1"/>
    <col min="7198" max="7200" width="4.7109375" style="1" customWidth="1"/>
    <col min="7201" max="7201" width="11.7109375" style="1" customWidth="1"/>
    <col min="7202" max="7202" width="10" style="1" customWidth="1"/>
    <col min="7203" max="7203" width="7.42578125" style="1" customWidth="1"/>
    <col min="7204" max="7204" width="7.140625" style="1" customWidth="1"/>
    <col min="7205" max="7205" width="6.42578125" style="1" customWidth="1"/>
    <col min="7206" max="7436" width="8.7109375" style="1"/>
    <col min="7437" max="7437" width="3.7109375" style="1" customWidth="1"/>
    <col min="7438" max="7438" width="4.28515625" style="1" customWidth="1"/>
    <col min="7439" max="7439" width="11.28515625" style="1" customWidth="1"/>
    <col min="7440" max="7440" width="13.42578125" style="1" customWidth="1"/>
    <col min="7441" max="7443" width="5.42578125" style="1" customWidth="1"/>
    <col min="7444" max="7444" width="8.28515625" style="1" customWidth="1"/>
    <col min="7445" max="7447" width="4.7109375" style="1" customWidth="1"/>
    <col min="7448" max="7448" width="11.7109375" style="1" customWidth="1"/>
    <col min="7449" max="7450" width="7" style="1" customWidth="1"/>
    <col min="7451" max="7451" width="6.42578125" style="1" customWidth="1"/>
    <col min="7452" max="7452" width="15" style="1" customWidth="1"/>
    <col min="7453" max="7453" width="5.28515625" style="1" customWidth="1"/>
    <col min="7454" max="7456" width="4.7109375" style="1" customWidth="1"/>
    <col min="7457" max="7457" width="11.7109375" style="1" customWidth="1"/>
    <col min="7458" max="7458" width="10" style="1" customWidth="1"/>
    <col min="7459" max="7459" width="7.42578125" style="1" customWidth="1"/>
    <col min="7460" max="7460" width="7.140625" style="1" customWidth="1"/>
    <col min="7461" max="7461" width="6.42578125" style="1" customWidth="1"/>
    <col min="7462" max="7692" width="8.7109375" style="1"/>
    <col min="7693" max="7693" width="3.7109375" style="1" customWidth="1"/>
    <col min="7694" max="7694" width="4.28515625" style="1" customWidth="1"/>
    <col min="7695" max="7695" width="11.28515625" style="1" customWidth="1"/>
    <col min="7696" max="7696" width="13.42578125" style="1" customWidth="1"/>
    <col min="7697" max="7699" width="5.42578125" style="1" customWidth="1"/>
    <col min="7700" max="7700" width="8.28515625" style="1" customWidth="1"/>
    <col min="7701" max="7703" width="4.7109375" style="1" customWidth="1"/>
    <col min="7704" max="7704" width="11.7109375" style="1" customWidth="1"/>
    <col min="7705" max="7706" width="7" style="1" customWidth="1"/>
    <col min="7707" max="7707" width="6.42578125" style="1" customWidth="1"/>
    <col min="7708" max="7708" width="15" style="1" customWidth="1"/>
    <col min="7709" max="7709" width="5.28515625" style="1" customWidth="1"/>
    <col min="7710" max="7712" width="4.7109375" style="1" customWidth="1"/>
    <col min="7713" max="7713" width="11.7109375" style="1" customWidth="1"/>
    <col min="7714" max="7714" width="10" style="1" customWidth="1"/>
    <col min="7715" max="7715" width="7.42578125" style="1" customWidth="1"/>
    <col min="7716" max="7716" width="7.140625" style="1" customWidth="1"/>
    <col min="7717" max="7717" width="6.42578125" style="1" customWidth="1"/>
    <col min="7718" max="7948" width="8.7109375" style="1"/>
    <col min="7949" max="7949" width="3.7109375" style="1" customWidth="1"/>
    <col min="7950" max="7950" width="4.28515625" style="1" customWidth="1"/>
    <col min="7951" max="7951" width="11.28515625" style="1" customWidth="1"/>
    <col min="7952" max="7952" width="13.42578125" style="1" customWidth="1"/>
    <col min="7953" max="7955" width="5.42578125" style="1" customWidth="1"/>
    <col min="7956" max="7956" width="8.28515625" style="1" customWidth="1"/>
    <col min="7957" max="7959" width="4.7109375" style="1" customWidth="1"/>
    <col min="7960" max="7960" width="11.7109375" style="1" customWidth="1"/>
    <col min="7961" max="7962" width="7" style="1" customWidth="1"/>
    <col min="7963" max="7963" width="6.42578125" style="1" customWidth="1"/>
    <col min="7964" max="7964" width="15" style="1" customWidth="1"/>
    <col min="7965" max="7965" width="5.28515625" style="1" customWidth="1"/>
    <col min="7966" max="7968" width="4.7109375" style="1" customWidth="1"/>
    <col min="7969" max="7969" width="11.7109375" style="1" customWidth="1"/>
    <col min="7970" max="7970" width="10" style="1" customWidth="1"/>
    <col min="7971" max="7971" width="7.42578125" style="1" customWidth="1"/>
    <col min="7972" max="7972" width="7.140625" style="1" customWidth="1"/>
    <col min="7973" max="7973" width="6.42578125" style="1" customWidth="1"/>
    <col min="7974" max="8204" width="8.7109375" style="1"/>
    <col min="8205" max="8205" width="3.7109375" style="1" customWidth="1"/>
    <col min="8206" max="8206" width="4.28515625" style="1" customWidth="1"/>
    <col min="8207" max="8207" width="11.28515625" style="1" customWidth="1"/>
    <col min="8208" max="8208" width="13.42578125" style="1" customWidth="1"/>
    <col min="8209" max="8211" width="5.42578125" style="1" customWidth="1"/>
    <col min="8212" max="8212" width="8.28515625" style="1" customWidth="1"/>
    <col min="8213" max="8215" width="4.7109375" style="1" customWidth="1"/>
    <col min="8216" max="8216" width="11.7109375" style="1" customWidth="1"/>
    <col min="8217" max="8218" width="7" style="1" customWidth="1"/>
    <col min="8219" max="8219" width="6.42578125" style="1" customWidth="1"/>
    <col min="8220" max="8220" width="15" style="1" customWidth="1"/>
    <col min="8221" max="8221" width="5.28515625" style="1" customWidth="1"/>
    <col min="8222" max="8224" width="4.7109375" style="1" customWidth="1"/>
    <col min="8225" max="8225" width="11.7109375" style="1" customWidth="1"/>
    <col min="8226" max="8226" width="10" style="1" customWidth="1"/>
    <col min="8227" max="8227" width="7.42578125" style="1" customWidth="1"/>
    <col min="8228" max="8228" width="7.140625" style="1" customWidth="1"/>
    <col min="8229" max="8229" width="6.42578125" style="1" customWidth="1"/>
    <col min="8230" max="8460" width="8.7109375" style="1"/>
    <col min="8461" max="8461" width="3.7109375" style="1" customWidth="1"/>
    <col min="8462" max="8462" width="4.28515625" style="1" customWidth="1"/>
    <col min="8463" max="8463" width="11.28515625" style="1" customWidth="1"/>
    <col min="8464" max="8464" width="13.42578125" style="1" customWidth="1"/>
    <col min="8465" max="8467" width="5.42578125" style="1" customWidth="1"/>
    <col min="8468" max="8468" width="8.28515625" style="1" customWidth="1"/>
    <col min="8469" max="8471" width="4.7109375" style="1" customWidth="1"/>
    <col min="8472" max="8472" width="11.7109375" style="1" customWidth="1"/>
    <col min="8473" max="8474" width="7" style="1" customWidth="1"/>
    <col min="8475" max="8475" width="6.42578125" style="1" customWidth="1"/>
    <col min="8476" max="8476" width="15" style="1" customWidth="1"/>
    <col min="8477" max="8477" width="5.28515625" style="1" customWidth="1"/>
    <col min="8478" max="8480" width="4.7109375" style="1" customWidth="1"/>
    <col min="8481" max="8481" width="11.7109375" style="1" customWidth="1"/>
    <col min="8482" max="8482" width="10" style="1" customWidth="1"/>
    <col min="8483" max="8483" width="7.42578125" style="1" customWidth="1"/>
    <col min="8484" max="8484" width="7.140625" style="1" customWidth="1"/>
    <col min="8485" max="8485" width="6.42578125" style="1" customWidth="1"/>
    <col min="8486" max="8716" width="8.7109375" style="1"/>
    <col min="8717" max="8717" width="3.7109375" style="1" customWidth="1"/>
    <col min="8718" max="8718" width="4.28515625" style="1" customWidth="1"/>
    <col min="8719" max="8719" width="11.28515625" style="1" customWidth="1"/>
    <col min="8720" max="8720" width="13.42578125" style="1" customWidth="1"/>
    <col min="8721" max="8723" width="5.42578125" style="1" customWidth="1"/>
    <col min="8724" max="8724" width="8.28515625" style="1" customWidth="1"/>
    <col min="8725" max="8727" width="4.7109375" style="1" customWidth="1"/>
    <col min="8728" max="8728" width="11.7109375" style="1" customWidth="1"/>
    <col min="8729" max="8730" width="7" style="1" customWidth="1"/>
    <col min="8731" max="8731" width="6.42578125" style="1" customWidth="1"/>
    <col min="8732" max="8732" width="15" style="1" customWidth="1"/>
    <col min="8733" max="8733" width="5.28515625" style="1" customWidth="1"/>
    <col min="8734" max="8736" width="4.7109375" style="1" customWidth="1"/>
    <col min="8737" max="8737" width="11.7109375" style="1" customWidth="1"/>
    <col min="8738" max="8738" width="10" style="1" customWidth="1"/>
    <col min="8739" max="8739" width="7.42578125" style="1" customWidth="1"/>
    <col min="8740" max="8740" width="7.140625" style="1" customWidth="1"/>
    <col min="8741" max="8741" width="6.42578125" style="1" customWidth="1"/>
    <col min="8742" max="8972" width="8.7109375" style="1"/>
    <col min="8973" max="8973" width="3.7109375" style="1" customWidth="1"/>
    <col min="8974" max="8974" width="4.28515625" style="1" customWidth="1"/>
    <col min="8975" max="8975" width="11.28515625" style="1" customWidth="1"/>
    <col min="8976" max="8976" width="13.42578125" style="1" customWidth="1"/>
    <col min="8977" max="8979" width="5.42578125" style="1" customWidth="1"/>
    <col min="8980" max="8980" width="8.28515625" style="1" customWidth="1"/>
    <col min="8981" max="8983" width="4.7109375" style="1" customWidth="1"/>
    <col min="8984" max="8984" width="11.7109375" style="1" customWidth="1"/>
    <col min="8985" max="8986" width="7" style="1" customWidth="1"/>
    <col min="8987" max="8987" width="6.42578125" style="1" customWidth="1"/>
    <col min="8988" max="8988" width="15" style="1" customWidth="1"/>
    <col min="8989" max="8989" width="5.28515625" style="1" customWidth="1"/>
    <col min="8990" max="8992" width="4.7109375" style="1" customWidth="1"/>
    <col min="8993" max="8993" width="11.7109375" style="1" customWidth="1"/>
    <col min="8994" max="8994" width="10" style="1" customWidth="1"/>
    <col min="8995" max="8995" width="7.42578125" style="1" customWidth="1"/>
    <col min="8996" max="8996" width="7.140625" style="1" customWidth="1"/>
    <col min="8997" max="8997" width="6.42578125" style="1" customWidth="1"/>
    <col min="8998" max="9228" width="8.7109375" style="1"/>
    <col min="9229" max="9229" width="3.7109375" style="1" customWidth="1"/>
    <col min="9230" max="9230" width="4.28515625" style="1" customWidth="1"/>
    <col min="9231" max="9231" width="11.28515625" style="1" customWidth="1"/>
    <col min="9232" max="9232" width="13.42578125" style="1" customWidth="1"/>
    <col min="9233" max="9235" width="5.42578125" style="1" customWidth="1"/>
    <col min="9236" max="9236" width="8.28515625" style="1" customWidth="1"/>
    <col min="9237" max="9239" width="4.7109375" style="1" customWidth="1"/>
    <col min="9240" max="9240" width="11.7109375" style="1" customWidth="1"/>
    <col min="9241" max="9242" width="7" style="1" customWidth="1"/>
    <col min="9243" max="9243" width="6.42578125" style="1" customWidth="1"/>
    <col min="9244" max="9244" width="15" style="1" customWidth="1"/>
    <col min="9245" max="9245" width="5.28515625" style="1" customWidth="1"/>
    <col min="9246" max="9248" width="4.7109375" style="1" customWidth="1"/>
    <col min="9249" max="9249" width="11.7109375" style="1" customWidth="1"/>
    <col min="9250" max="9250" width="10" style="1" customWidth="1"/>
    <col min="9251" max="9251" width="7.42578125" style="1" customWidth="1"/>
    <col min="9252" max="9252" width="7.140625" style="1" customWidth="1"/>
    <col min="9253" max="9253" width="6.42578125" style="1" customWidth="1"/>
    <col min="9254" max="9484" width="8.7109375" style="1"/>
    <col min="9485" max="9485" width="3.7109375" style="1" customWidth="1"/>
    <col min="9486" max="9486" width="4.28515625" style="1" customWidth="1"/>
    <col min="9487" max="9487" width="11.28515625" style="1" customWidth="1"/>
    <col min="9488" max="9488" width="13.42578125" style="1" customWidth="1"/>
    <col min="9489" max="9491" width="5.42578125" style="1" customWidth="1"/>
    <col min="9492" max="9492" width="8.28515625" style="1" customWidth="1"/>
    <col min="9493" max="9495" width="4.7109375" style="1" customWidth="1"/>
    <col min="9496" max="9496" width="11.7109375" style="1" customWidth="1"/>
    <col min="9497" max="9498" width="7" style="1" customWidth="1"/>
    <col min="9499" max="9499" width="6.42578125" style="1" customWidth="1"/>
    <col min="9500" max="9500" width="15" style="1" customWidth="1"/>
    <col min="9501" max="9501" width="5.28515625" style="1" customWidth="1"/>
    <col min="9502" max="9504" width="4.7109375" style="1" customWidth="1"/>
    <col min="9505" max="9505" width="11.7109375" style="1" customWidth="1"/>
    <col min="9506" max="9506" width="10" style="1" customWidth="1"/>
    <col min="9507" max="9507" width="7.42578125" style="1" customWidth="1"/>
    <col min="9508" max="9508" width="7.140625" style="1" customWidth="1"/>
    <col min="9509" max="9509" width="6.42578125" style="1" customWidth="1"/>
    <col min="9510" max="9740" width="8.7109375" style="1"/>
    <col min="9741" max="9741" width="3.7109375" style="1" customWidth="1"/>
    <col min="9742" max="9742" width="4.28515625" style="1" customWidth="1"/>
    <col min="9743" max="9743" width="11.28515625" style="1" customWidth="1"/>
    <col min="9744" max="9744" width="13.42578125" style="1" customWidth="1"/>
    <col min="9745" max="9747" width="5.42578125" style="1" customWidth="1"/>
    <col min="9748" max="9748" width="8.28515625" style="1" customWidth="1"/>
    <col min="9749" max="9751" width="4.7109375" style="1" customWidth="1"/>
    <col min="9752" max="9752" width="11.7109375" style="1" customWidth="1"/>
    <col min="9753" max="9754" width="7" style="1" customWidth="1"/>
    <col min="9755" max="9755" width="6.42578125" style="1" customWidth="1"/>
    <col min="9756" max="9756" width="15" style="1" customWidth="1"/>
    <col min="9757" max="9757" width="5.28515625" style="1" customWidth="1"/>
    <col min="9758" max="9760" width="4.7109375" style="1" customWidth="1"/>
    <col min="9761" max="9761" width="11.7109375" style="1" customWidth="1"/>
    <col min="9762" max="9762" width="10" style="1" customWidth="1"/>
    <col min="9763" max="9763" width="7.42578125" style="1" customWidth="1"/>
    <col min="9764" max="9764" width="7.140625" style="1" customWidth="1"/>
    <col min="9765" max="9765" width="6.42578125" style="1" customWidth="1"/>
    <col min="9766" max="9996" width="8.7109375" style="1"/>
    <col min="9997" max="9997" width="3.7109375" style="1" customWidth="1"/>
    <col min="9998" max="9998" width="4.28515625" style="1" customWidth="1"/>
    <col min="9999" max="9999" width="11.28515625" style="1" customWidth="1"/>
    <col min="10000" max="10000" width="13.42578125" style="1" customWidth="1"/>
    <col min="10001" max="10003" width="5.42578125" style="1" customWidth="1"/>
    <col min="10004" max="10004" width="8.28515625" style="1" customWidth="1"/>
    <col min="10005" max="10007" width="4.7109375" style="1" customWidth="1"/>
    <col min="10008" max="10008" width="11.7109375" style="1" customWidth="1"/>
    <col min="10009" max="10010" width="7" style="1" customWidth="1"/>
    <col min="10011" max="10011" width="6.42578125" style="1" customWidth="1"/>
    <col min="10012" max="10012" width="15" style="1" customWidth="1"/>
    <col min="10013" max="10013" width="5.28515625" style="1" customWidth="1"/>
    <col min="10014" max="10016" width="4.7109375" style="1" customWidth="1"/>
    <col min="10017" max="10017" width="11.7109375" style="1" customWidth="1"/>
    <col min="10018" max="10018" width="10" style="1" customWidth="1"/>
    <col min="10019" max="10019" width="7.42578125" style="1" customWidth="1"/>
    <col min="10020" max="10020" width="7.140625" style="1" customWidth="1"/>
    <col min="10021" max="10021" width="6.42578125" style="1" customWidth="1"/>
    <col min="10022" max="10252" width="8.7109375" style="1"/>
    <col min="10253" max="10253" width="3.7109375" style="1" customWidth="1"/>
    <col min="10254" max="10254" width="4.28515625" style="1" customWidth="1"/>
    <col min="10255" max="10255" width="11.28515625" style="1" customWidth="1"/>
    <col min="10256" max="10256" width="13.42578125" style="1" customWidth="1"/>
    <col min="10257" max="10259" width="5.42578125" style="1" customWidth="1"/>
    <col min="10260" max="10260" width="8.28515625" style="1" customWidth="1"/>
    <col min="10261" max="10263" width="4.7109375" style="1" customWidth="1"/>
    <col min="10264" max="10264" width="11.7109375" style="1" customWidth="1"/>
    <col min="10265" max="10266" width="7" style="1" customWidth="1"/>
    <col min="10267" max="10267" width="6.42578125" style="1" customWidth="1"/>
    <col min="10268" max="10268" width="15" style="1" customWidth="1"/>
    <col min="10269" max="10269" width="5.28515625" style="1" customWidth="1"/>
    <col min="10270" max="10272" width="4.7109375" style="1" customWidth="1"/>
    <col min="10273" max="10273" width="11.7109375" style="1" customWidth="1"/>
    <col min="10274" max="10274" width="10" style="1" customWidth="1"/>
    <col min="10275" max="10275" width="7.42578125" style="1" customWidth="1"/>
    <col min="10276" max="10276" width="7.140625" style="1" customWidth="1"/>
    <col min="10277" max="10277" width="6.42578125" style="1" customWidth="1"/>
    <col min="10278" max="10508" width="8.7109375" style="1"/>
    <col min="10509" max="10509" width="3.7109375" style="1" customWidth="1"/>
    <col min="10510" max="10510" width="4.28515625" style="1" customWidth="1"/>
    <col min="10511" max="10511" width="11.28515625" style="1" customWidth="1"/>
    <col min="10512" max="10512" width="13.42578125" style="1" customWidth="1"/>
    <col min="10513" max="10515" width="5.42578125" style="1" customWidth="1"/>
    <col min="10516" max="10516" width="8.28515625" style="1" customWidth="1"/>
    <col min="10517" max="10519" width="4.7109375" style="1" customWidth="1"/>
    <col min="10520" max="10520" width="11.7109375" style="1" customWidth="1"/>
    <col min="10521" max="10522" width="7" style="1" customWidth="1"/>
    <col min="10523" max="10523" width="6.42578125" style="1" customWidth="1"/>
    <col min="10524" max="10524" width="15" style="1" customWidth="1"/>
    <col min="10525" max="10525" width="5.28515625" style="1" customWidth="1"/>
    <col min="10526" max="10528" width="4.7109375" style="1" customWidth="1"/>
    <col min="10529" max="10529" width="11.7109375" style="1" customWidth="1"/>
    <col min="10530" max="10530" width="10" style="1" customWidth="1"/>
    <col min="10531" max="10531" width="7.42578125" style="1" customWidth="1"/>
    <col min="10532" max="10532" width="7.140625" style="1" customWidth="1"/>
    <col min="10533" max="10533" width="6.42578125" style="1" customWidth="1"/>
    <col min="10534" max="10764" width="8.7109375" style="1"/>
    <col min="10765" max="10765" width="3.7109375" style="1" customWidth="1"/>
    <col min="10766" max="10766" width="4.28515625" style="1" customWidth="1"/>
    <col min="10767" max="10767" width="11.28515625" style="1" customWidth="1"/>
    <col min="10768" max="10768" width="13.42578125" style="1" customWidth="1"/>
    <col min="10769" max="10771" width="5.42578125" style="1" customWidth="1"/>
    <col min="10772" max="10772" width="8.28515625" style="1" customWidth="1"/>
    <col min="10773" max="10775" width="4.7109375" style="1" customWidth="1"/>
    <col min="10776" max="10776" width="11.7109375" style="1" customWidth="1"/>
    <col min="10777" max="10778" width="7" style="1" customWidth="1"/>
    <col min="10779" max="10779" width="6.42578125" style="1" customWidth="1"/>
    <col min="10780" max="10780" width="15" style="1" customWidth="1"/>
    <col min="10781" max="10781" width="5.28515625" style="1" customWidth="1"/>
    <col min="10782" max="10784" width="4.7109375" style="1" customWidth="1"/>
    <col min="10785" max="10785" width="11.7109375" style="1" customWidth="1"/>
    <col min="10786" max="10786" width="10" style="1" customWidth="1"/>
    <col min="10787" max="10787" width="7.42578125" style="1" customWidth="1"/>
    <col min="10788" max="10788" width="7.140625" style="1" customWidth="1"/>
    <col min="10789" max="10789" width="6.42578125" style="1" customWidth="1"/>
    <col min="10790" max="11020" width="8.7109375" style="1"/>
    <col min="11021" max="11021" width="3.7109375" style="1" customWidth="1"/>
    <col min="11022" max="11022" width="4.28515625" style="1" customWidth="1"/>
    <col min="11023" max="11023" width="11.28515625" style="1" customWidth="1"/>
    <col min="11024" max="11024" width="13.42578125" style="1" customWidth="1"/>
    <col min="11025" max="11027" width="5.42578125" style="1" customWidth="1"/>
    <col min="11028" max="11028" width="8.28515625" style="1" customWidth="1"/>
    <col min="11029" max="11031" width="4.7109375" style="1" customWidth="1"/>
    <col min="11032" max="11032" width="11.7109375" style="1" customWidth="1"/>
    <col min="11033" max="11034" width="7" style="1" customWidth="1"/>
    <col min="11035" max="11035" width="6.42578125" style="1" customWidth="1"/>
    <col min="11036" max="11036" width="15" style="1" customWidth="1"/>
    <col min="11037" max="11037" width="5.28515625" style="1" customWidth="1"/>
    <col min="11038" max="11040" width="4.7109375" style="1" customWidth="1"/>
    <col min="11041" max="11041" width="11.7109375" style="1" customWidth="1"/>
    <col min="11042" max="11042" width="10" style="1" customWidth="1"/>
    <col min="11043" max="11043" width="7.42578125" style="1" customWidth="1"/>
    <col min="11044" max="11044" width="7.140625" style="1" customWidth="1"/>
    <col min="11045" max="11045" width="6.42578125" style="1" customWidth="1"/>
    <col min="11046" max="11276" width="8.7109375" style="1"/>
    <col min="11277" max="11277" width="3.7109375" style="1" customWidth="1"/>
    <col min="11278" max="11278" width="4.28515625" style="1" customWidth="1"/>
    <col min="11279" max="11279" width="11.28515625" style="1" customWidth="1"/>
    <col min="11280" max="11280" width="13.42578125" style="1" customWidth="1"/>
    <col min="11281" max="11283" width="5.42578125" style="1" customWidth="1"/>
    <col min="11284" max="11284" width="8.28515625" style="1" customWidth="1"/>
    <col min="11285" max="11287" width="4.7109375" style="1" customWidth="1"/>
    <col min="11288" max="11288" width="11.7109375" style="1" customWidth="1"/>
    <col min="11289" max="11290" width="7" style="1" customWidth="1"/>
    <col min="11291" max="11291" width="6.42578125" style="1" customWidth="1"/>
    <col min="11292" max="11292" width="15" style="1" customWidth="1"/>
    <col min="11293" max="11293" width="5.28515625" style="1" customWidth="1"/>
    <col min="11294" max="11296" width="4.7109375" style="1" customWidth="1"/>
    <col min="11297" max="11297" width="11.7109375" style="1" customWidth="1"/>
    <col min="11298" max="11298" width="10" style="1" customWidth="1"/>
    <col min="11299" max="11299" width="7.42578125" style="1" customWidth="1"/>
    <col min="11300" max="11300" width="7.140625" style="1" customWidth="1"/>
    <col min="11301" max="11301" width="6.42578125" style="1" customWidth="1"/>
    <col min="11302" max="11532" width="8.7109375" style="1"/>
    <col min="11533" max="11533" width="3.7109375" style="1" customWidth="1"/>
    <col min="11534" max="11534" width="4.28515625" style="1" customWidth="1"/>
    <col min="11535" max="11535" width="11.28515625" style="1" customWidth="1"/>
    <col min="11536" max="11536" width="13.42578125" style="1" customWidth="1"/>
    <col min="11537" max="11539" width="5.42578125" style="1" customWidth="1"/>
    <col min="11540" max="11540" width="8.28515625" style="1" customWidth="1"/>
    <col min="11541" max="11543" width="4.7109375" style="1" customWidth="1"/>
    <col min="11544" max="11544" width="11.7109375" style="1" customWidth="1"/>
    <col min="11545" max="11546" width="7" style="1" customWidth="1"/>
    <col min="11547" max="11547" width="6.42578125" style="1" customWidth="1"/>
    <col min="11548" max="11548" width="15" style="1" customWidth="1"/>
    <col min="11549" max="11549" width="5.28515625" style="1" customWidth="1"/>
    <col min="11550" max="11552" width="4.7109375" style="1" customWidth="1"/>
    <col min="11553" max="11553" width="11.7109375" style="1" customWidth="1"/>
    <col min="11554" max="11554" width="10" style="1" customWidth="1"/>
    <col min="11555" max="11555" width="7.42578125" style="1" customWidth="1"/>
    <col min="11556" max="11556" width="7.140625" style="1" customWidth="1"/>
    <col min="11557" max="11557" width="6.42578125" style="1" customWidth="1"/>
    <col min="11558" max="11788" width="8.7109375" style="1"/>
    <col min="11789" max="11789" width="3.7109375" style="1" customWidth="1"/>
    <col min="11790" max="11790" width="4.28515625" style="1" customWidth="1"/>
    <col min="11791" max="11791" width="11.28515625" style="1" customWidth="1"/>
    <col min="11792" max="11792" width="13.42578125" style="1" customWidth="1"/>
    <col min="11793" max="11795" width="5.42578125" style="1" customWidth="1"/>
    <col min="11796" max="11796" width="8.28515625" style="1" customWidth="1"/>
    <col min="11797" max="11799" width="4.7109375" style="1" customWidth="1"/>
    <col min="11800" max="11800" width="11.7109375" style="1" customWidth="1"/>
    <col min="11801" max="11802" width="7" style="1" customWidth="1"/>
    <col min="11803" max="11803" width="6.42578125" style="1" customWidth="1"/>
    <col min="11804" max="11804" width="15" style="1" customWidth="1"/>
    <col min="11805" max="11805" width="5.28515625" style="1" customWidth="1"/>
    <col min="11806" max="11808" width="4.7109375" style="1" customWidth="1"/>
    <col min="11809" max="11809" width="11.7109375" style="1" customWidth="1"/>
    <col min="11810" max="11810" width="10" style="1" customWidth="1"/>
    <col min="11811" max="11811" width="7.42578125" style="1" customWidth="1"/>
    <col min="11812" max="11812" width="7.140625" style="1" customWidth="1"/>
    <col min="11813" max="11813" width="6.42578125" style="1" customWidth="1"/>
    <col min="11814" max="12044" width="8.7109375" style="1"/>
    <col min="12045" max="12045" width="3.7109375" style="1" customWidth="1"/>
    <col min="12046" max="12046" width="4.28515625" style="1" customWidth="1"/>
    <col min="12047" max="12047" width="11.28515625" style="1" customWidth="1"/>
    <col min="12048" max="12048" width="13.42578125" style="1" customWidth="1"/>
    <col min="12049" max="12051" width="5.42578125" style="1" customWidth="1"/>
    <col min="12052" max="12052" width="8.28515625" style="1" customWidth="1"/>
    <col min="12053" max="12055" width="4.7109375" style="1" customWidth="1"/>
    <col min="12056" max="12056" width="11.7109375" style="1" customWidth="1"/>
    <col min="12057" max="12058" width="7" style="1" customWidth="1"/>
    <col min="12059" max="12059" width="6.42578125" style="1" customWidth="1"/>
    <col min="12060" max="12060" width="15" style="1" customWidth="1"/>
    <col min="12061" max="12061" width="5.28515625" style="1" customWidth="1"/>
    <col min="12062" max="12064" width="4.7109375" style="1" customWidth="1"/>
    <col min="12065" max="12065" width="11.7109375" style="1" customWidth="1"/>
    <col min="12066" max="12066" width="10" style="1" customWidth="1"/>
    <col min="12067" max="12067" width="7.42578125" style="1" customWidth="1"/>
    <col min="12068" max="12068" width="7.140625" style="1" customWidth="1"/>
    <col min="12069" max="12069" width="6.42578125" style="1" customWidth="1"/>
    <col min="12070" max="12300" width="8.7109375" style="1"/>
    <col min="12301" max="12301" width="3.7109375" style="1" customWidth="1"/>
    <col min="12302" max="12302" width="4.28515625" style="1" customWidth="1"/>
    <col min="12303" max="12303" width="11.28515625" style="1" customWidth="1"/>
    <col min="12304" max="12304" width="13.42578125" style="1" customWidth="1"/>
    <col min="12305" max="12307" width="5.42578125" style="1" customWidth="1"/>
    <col min="12308" max="12308" width="8.28515625" style="1" customWidth="1"/>
    <col min="12309" max="12311" width="4.7109375" style="1" customWidth="1"/>
    <col min="12312" max="12312" width="11.7109375" style="1" customWidth="1"/>
    <col min="12313" max="12314" width="7" style="1" customWidth="1"/>
    <col min="12315" max="12315" width="6.42578125" style="1" customWidth="1"/>
    <col min="12316" max="12316" width="15" style="1" customWidth="1"/>
    <col min="12317" max="12317" width="5.28515625" style="1" customWidth="1"/>
    <col min="12318" max="12320" width="4.7109375" style="1" customWidth="1"/>
    <col min="12321" max="12321" width="11.7109375" style="1" customWidth="1"/>
    <col min="12322" max="12322" width="10" style="1" customWidth="1"/>
    <col min="12323" max="12323" width="7.42578125" style="1" customWidth="1"/>
    <col min="12324" max="12324" width="7.140625" style="1" customWidth="1"/>
    <col min="12325" max="12325" width="6.42578125" style="1" customWidth="1"/>
    <col min="12326" max="12556" width="8.7109375" style="1"/>
    <col min="12557" max="12557" width="3.7109375" style="1" customWidth="1"/>
    <col min="12558" max="12558" width="4.28515625" style="1" customWidth="1"/>
    <col min="12559" max="12559" width="11.28515625" style="1" customWidth="1"/>
    <col min="12560" max="12560" width="13.42578125" style="1" customWidth="1"/>
    <col min="12561" max="12563" width="5.42578125" style="1" customWidth="1"/>
    <col min="12564" max="12564" width="8.28515625" style="1" customWidth="1"/>
    <col min="12565" max="12567" width="4.7109375" style="1" customWidth="1"/>
    <col min="12568" max="12568" width="11.7109375" style="1" customWidth="1"/>
    <col min="12569" max="12570" width="7" style="1" customWidth="1"/>
    <col min="12571" max="12571" width="6.42578125" style="1" customWidth="1"/>
    <col min="12572" max="12572" width="15" style="1" customWidth="1"/>
    <col min="12573" max="12573" width="5.28515625" style="1" customWidth="1"/>
    <col min="12574" max="12576" width="4.7109375" style="1" customWidth="1"/>
    <col min="12577" max="12577" width="11.7109375" style="1" customWidth="1"/>
    <col min="12578" max="12578" width="10" style="1" customWidth="1"/>
    <col min="12579" max="12579" width="7.42578125" style="1" customWidth="1"/>
    <col min="12580" max="12580" width="7.140625" style="1" customWidth="1"/>
    <col min="12581" max="12581" width="6.42578125" style="1" customWidth="1"/>
    <col min="12582" max="12812" width="8.7109375" style="1"/>
    <col min="12813" max="12813" width="3.7109375" style="1" customWidth="1"/>
    <col min="12814" max="12814" width="4.28515625" style="1" customWidth="1"/>
    <col min="12815" max="12815" width="11.28515625" style="1" customWidth="1"/>
    <col min="12816" max="12816" width="13.42578125" style="1" customWidth="1"/>
    <col min="12817" max="12819" width="5.42578125" style="1" customWidth="1"/>
    <col min="12820" max="12820" width="8.28515625" style="1" customWidth="1"/>
    <col min="12821" max="12823" width="4.7109375" style="1" customWidth="1"/>
    <col min="12824" max="12824" width="11.7109375" style="1" customWidth="1"/>
    <col min="12825" max="12826" width="7" style="1" customWidth="1"/>
    <col min="12827" max="12827" width="6.42578125" style="1" customWidth="1"/>
    <col min="12828" max="12828" width="15" style="1" customWidth="1"/>
    <col min="12829" max="12829" width="5.28515625" style="1" customWidth="1"/>
    <col min="12830" max="12832" width="4.7109375" style="1" customWidth="1"/>
    <col min="12833" max="12833" width="11.7109375" style="1" customWidth="1"/>
    <col min="12834" max="12834" width="10" style="1" customWidth="1"/>
    <col min="12835" max="12835" width="7.42578125" style="1" customWidth="1"/>
    <col min="12836" max="12836" width="7.140625" style="1" customWidth="1"/>
    <col min="12837" max="12837" width="6.42578125" style="1" customWidth="1"/>
    <col min="12838" max="13068" width="8.7109375" style="1"/>
    <col min="13069" max="13069" width="3.7109375" style="1" customWidth="1"/>
    <col min="13070" max="13070" width="4.28515625" style="1" customWidth="1"/>
    <col min="13071" max="13071" width="11.28515625" style="1" customWidth="1"/>
    <col min="13072" max="13072" width="13.42578125" style="1" customWidth="1"/>
    <col min="13073" max="13075" width="5.42578125" style="1" customWidth="1"/>
    <col min="13076" max="13076" width="8.28515625" style="1" customWidth="1"/>
    <col min="13077" max="13079" width="4.7109375" style="1" customWidth="1"/>
    <col min="13080" max="13080" width="11.7109375" style="1" customWidth="1"/>
    <col min="13081" max="13082" width="7" style="1" customWidth="1"/>
    <col min="13083" max="13083" width="6.42578125" style="1" customWidth="1"/>
    <col min="13084" max="13084" width="15" style="1" customWidth="1"/>
    <col min="13085" max="13085" width="5.28515625" style="1" customWidth="1"/>
    <col min="13086" max="13088" width="4.7109375" style="1" customWidth="1"/>
    <col min="13089" max="13089" width="11.7109375" style="1" customWidth="1"/>
    <col min="13090" max="13090" width="10" style="1" customWidth="1"/>
    <col min="13091" max="13091" width="7.42578125" style="1" customWidth="1"/>
    <col min="13092" max="13092" width="7.140625" style="1" customWidth="1"/>
    <col min="13093" max="13093" width="6.42578125" style="1" customWidth="1"/>
    <col min="13094" max="13324" width="8.7109375" style="1"/>
    <col min="13325" max="13325" width="3.7109375" style="1" customWidth="1"/>
    <col min="13326" max="13326" width="4.28515625" style="1" customWidth="1"/>
    <col min="13327" max="13327" width="11.28515625" style="1" customWidth="1"/>
    <col min="13328" max="13328" width="13.42578125" style="1" customWidth="1"/>
    <col min="13329" max="13331" width="5.42578125" style="1" customWidth="1"/>
    <col min="13332" max="13332" width="8.28515625" style="1" customWidth="1"/>
    <col min="13333" max="13335" width="4.7109375" style="1" customWidth="1"/>
    <col min="13336" max="13336" width="11.7109375" style="1" customWidth="1"/>
    <col min="13337" max="13338" width="7" style="1" customWidth="1"/>
    <col min="13339" max="13339" width="6.42578125" style="1" customWidth="1"/>
    <col min="13340" max="13340" width="15" style="1" customWidth="1"/>
    <col min="13341" max="13341" width="5.28515625" style="1" customWidth="1"/>
    <col min="13342" max="13344" width="4.7109375" style="1" customWidth="1"/>
    <col min="13345" max="13345" width="11.7109375" style="1" customWidth="1"/>
    <col min="13346" max="13346" width="10" style="1" customWidth="1"/>
    <col min="13347" max="13347" width="7.42578125" style="1" customWidth="1"/>
    <col min="13348" max="13348" width="7.140625" style="1" customWidth="1"/>
    <col min="13349" max="13349" width="6.42578125" style="1" customWidth="1"/>
    <col min="13350" max="13580" width="8.7109375" style="1"/>
    <col min="13581" max="13581" width="3.7109375" style="1" customWidth="1"/>
    <col min="13582" max="13582" width="4.28515625" style="1" customWidth="1"/>
    <col min="13583" max="13583" width="11.28515625" style="1" customWidth="1"/>
    <col min="13584" max="13584" width="13.42578125" style="1" customWidth="1"/>
    <col min="13585" max="13587" width="5.42578125" style="1" customWidth="1"/>
    <col min="13588" max="13588" width="8.28515625" style="1" customWidth="1"/>
    <col min="13589" max="13591" width="4.7109375" style="1" customWidth="1"/>
    <col min="13592" max="13592" width="11.7109375" style="1" customWidth="1"/>
    <col min="13593" max="13594" width="7" style="1" customWidth="1"/>
    <col min="13595" max="13595" width="6.42578125" style="1" customWidth="1"/>
    <col min="13596" max="13596" width="15" style="1" customWidth="1"/>
    <col min="13597" max="13597" width="5.28515625" style="1" customWidth="1"/>
    <col min="13598" max="13600" width="4.7109375" style="1" customWidth="1"/>
    <col min="13601" max="13601" width="11.7109375" style="1" customWidth="1"/>
    <col min="13602" max="13602" width="10" style="1" customWidth="1"/>
    <col min="13603" max="13603" width="7.42578125" style="1" customWidth="1"/>
    <col min="13604" max="13604" width="7.140625" style="1" customWidth="1"/>
    <col min="13605" max="13605" width="6.42578125" style="1" customWidth="1"/>
    <col min="13606" max="13836" width="8.7109375" style="1"/>
    <col min="13837" max="13837" width="3.7109375" style="1" customWidth="1"/>
    <col min="13838" max="13838" width="4.28515625" style="1" customWidth="1"/>
    <col min="13839" max="13839" width="11.28515625" style="1" customWidth="1"/>
    <col min="13840" max="13840" width="13.42578125" style="1" customWidth="1"/>
    <col min="13841" max="13843" width="5.42578125" style="1" customWidth="1"/>
    <col min="13844" max="13844" width="8.28515625" style="1" customWidth="1"/>
    <col min="13845" max="13847" width="4.7109375" style="1" customWidth="1"/>
    <col min="13848" max="13848" width="11.7109375" style="1" customWidth="1"/>
    <col min="13849" max="13850" width="7" style="1" customWidth="1"/>
    <col min="13851" max="13851" width="6.42578125" style="1" customWidth="1"/>
    <col min="13852" max="13852" width="15" style="1" customWidth="1"/>
    <col min="13853" max="13853" width="5.28515625" style="1" customWidth="1"/>
    <col min="13854" max="13856" width="4.7109375" style="1" customWidth="1"/>
    <col min="13857" max="13857" width="11.7109375" style="1" customWidth="1"/>
    <col min="13858" max="13858" width="10" style="1" customWidth="1"/>
    <col min="13859" max="13859" width="7.42578125" style="1" customWidth="1"/>
    <col min="13860" max="13860" width="7.140625" style="1" customWidth="1"/>
    <col min="13861" max="13861" width="6.42578125" style="1" customWidth="1"/>
    <col min="13862" max="14092" width="8.7109375" style="1"/>
    <col min="14093" max="14093" width="3.7109375" style="1" customWidth="1"/>
    <col min="14094" max="14094" width="4.28515625" style="1" customWidth="1"/>
    <col min="14095" max="14095" width="11.28515625" style="1" customWidth="1"/>
    <col min="14096" max="14096" width="13.42578125" style="1" customWidth="1"/>
    <col min="14097" max="14099" width="5.42578125" style="1" customWidth="1"/>
    <col min="14100" max="14100" width="8.28515625" style="1" customWidth="1"/>
    <col min="14101" max="14103" width="4.7109375" style="1" customWidth="1"/>
    <col min="14104" max="14104" width="11.7109375" style="1" customWidth="1"/>
    <col min="14105" max="14106" width="7" style="1" customWidth="1"/>
    <col min="14107" max="14107" width="6.42578125" style="1" customWidth="1"/>
    <col min="14108" max="14108" width="15" style="1" customWidth="1"/>
    <col min="14109" max="14109" width="5.28515625" style="1" customWidth="1"/>
    <col min="14110" max="14112" width="4.7109375" style="1" customWidth="1"/>
    <col min="14113" max="14113" width="11.7109375" style="1" customWidth="1"/>
    <col min="14114" max="14114" width="10" style="1" customWidth="1"/>
    <col min="14115" max="14115" width="7.42578125" style="1" customWidth="1"/>
    <col min="14116" max="14116" width="7.140625" style="1" customWidth="1"/>
    <col min="14117" max="14117" width="6.42578125" style="1" customWidth="1"/>
    <col min="14118" max="14348" width="8.7109375" style="1"/>
    <col min="14349" max="14349" width="3.7109375" style="1" customWidth="1"/>
    <col min="14350" max="14350" width="4.28515625" style="1" customWidth="1"/>
    <col min="14351" max="14351" width="11.28515625" style="1" customWidth="1"/>
    <col min="14352" max="14352" width="13.42578125" style="1" customWidth="1"/>
    <col min="14353" max="14355" width="5.42578125" style="1" customWidth="1"/>
    <col min="14356" max="14356" width="8.28515625" style="1" customWidth="1"/>
    <col min="14357" max="14359" width="4.7109375" style="1" customWidth="1"/>
    <col min="14360" max="14360" width="11.7109375" style="1" customWidth="1"/>
    <col min="14361" max="14362" width="7" style="1" customWidth="1"/>
    <col min="14363" max="14363" width="6.42578125" style="1" customWidth="1"/>
    <col min="14364" max="14364" width="15" style="1" customWidth="1"/>
    <col min="14365" max="14365" width="5.28515625" style="1" customWidth="1"/>
    <col min="14366" max="14368" width="4.7109375" style="1" customWidth="1"/>
    <col min="14369" max="14369" width="11.7109375" style="1" customWidth="1"/>
    <col min="14370" max="14370" width="10" style="1" customWidth="1"/>
    <col min="14371" max="14371" width="7.42578125" style="1" customWidth="1"/>
    <col min="14372" max="14372" width="7.140625" style="1" customWidth="1"/>
    <col min="14373" max="14373" width="6.42578125" style="1" customWidth="1"/>
    <col min="14374" max="14604" width="8.7109375" style="1"/>
    <col min="14605" max="14605" width="3.7109375" style="1" customWidth="1"/>
    <col min="14606" max="14606" width="4.28515625" style="1" customWidth="1"/>
    <col min="14607" max="14607" width="11.28515625" style="1" customWidth="1"/>
    <col min="14608" max="14608" width="13.42578125" style="1" customWidth="1"/>
    <col min="14609" max="14611" width="5.42578125" style="1" customWidth="1"/>
    <col min="14612" max="14612" width="8.28515625" style="1" customWidth="1"/>
    <col min="14613" max="14615" width="4.7109375" style="1" customWidth="1"/>
    <col min="14616" max="14616" width="11.7109375" style="1" customWidth="1"/>
    <col min="14617" max="14618" width="7" style="1" customWidth="1"/>
    <col min="14619" max="14619" width="6.42578125" style="1" customWidth="1"/>
    <col min="14620" max="14620" width="15" style="1" customWidth="1"/>
    <col min="14621" max="14621" width="5.28515625" style="1" customWidth="1"/>
    <col min="14622" max="14624" width="4.7109375" style="1" customWidth="1"/>
    <col min="14625" max="14625" width="11.7109375" style="1" customWidth="1"/>
    <col min="14626" max="14626" width="10" style="1" customWidth="1"/>
    <col min="14627" max="14627" width="7.42578125" style="1" customWidth="1"/>
    <col min="14628" max="14628" width="7.140625" style="1" customWidth="1"/>
    <col min="14629" max="14629" width="6.42578125" style="1" customWidth="1"/>
    <col min="14630" max="14860" width="8.7109375" style="1"/>
    <col min="14861" max="14861" width="3.7109375" style="1" customWidth="1"/>
    <col min="14862" max="14862" width="4.28515625" style="1" customWidth="1"/>
    <col min="14863" max="14863" width="11.28515625" style="1" customWidth="1"/>
    <col min="14864" max="14864" width="13.42578125" style="1" customWidth="1"/>
    <col min="14865" max="14867" width="5.42578125" style="1" customWidth="1"/>
    <col min="14868" max="14868" width="8.28515625" style="1" customWidth="1"/>
    <col min="14869" max="14871" width="4.7109375" style="1" customWidth="1"/>
    <col min="14872" max="14872" width="11.7109375" style="1" customWidth="1"/>
    <col min="14873" max="14874" width="7" style="1" customWidth="1"/>
    <col min="14875" max="14875" width="6.42578125" style="1" customWidth="1"/>
    <col min="14876" max="14876" width="15" style="1" customWidth="1"/>
    <col min="14877" max="14877" width="5.28515625" style="1" customWidth="1"/>
    <col min="14878" max="14880" width="4.7109375" style="1" customWidth="1"/>
    <col min="14881" max="14881" width="11.7109375" style="1" customWidth="1"/>
    <col min="14882" max="14882" width="10" style="1" customWidth="1"/>
    <col min="14883" max="14883" width="7.42578125" style="1" customWidth="1"/>
    <col min="14884" max="14884" width="7.140625" style="1" customWidth="1"/>
    <col min="14885" max="14885" width="6.42578125" style="1" customWidth="1"/>
    <col min="14886" max="15116" width="8.7109375" style="1"/>
    <col min="15117" max="15117" width="3.7109375" style="1" customWidth="1"/>
    <col min="15118" max="15118" width="4.28515625" style="1" customWidth="1"/>
    <col min="15119" max="15119" width="11.28515625" style="1" customWidth="1"/>
    <col min="15120" max="15120" width="13.42578125" style="1" customWidth="1"/>
    <col min="15121" max="15123" width="5.42578125" style="1" customWidth="1"/>
    <col min="15124" max="15124" width="8.28515625" style="1" customWidth="1"/>
    <col min="15125" max="15127" width="4.7109375" style="1" customWidth="1"/>
    <col min="15128" max="15128" width="11.7109375" style="1" customWidth="1"/>
    <col min="15129" max="15130" width="7" style="1" customWidth="1"/>
    <col min="15131" max="15131" width="6.42578125" style="1" customWidth="1"/>
    <col min="15132" max="15132" width="15" style="1" customWidth="1"/>
    <col min="15133" max="15133" width="5.28515625" style="1" customWidth="1"/>
    <col min="15134" max="15136" width="4.7109375" style="1" customWidth="1"/>
    <col min="15137" max="15137" width="11.7109375" style="1" customWidth="1"/>
    <col min="15138" max="15138" width="10" style="1" customWidth="1"/>
    <col min="15139" max="15139" width="7.42578125" style="1" customWidth="1"/>
    <col min="15140" max="15140" width="7.140625" style="1" customWidth="1"/>
    <col min="15141" max="15141" width="6.42578125" style="1" customWidth="1"/>
    <col min="15142" max="15372" width="8.7109375" style="1"/>
    <col min="15373" max="15373" width="3.7109375" style="1" customWidth="1"/>
    <col min="15374" max="15374" width="4.28515625" style="1" customWidth="1"/>
    <col min="15375" max="15375" width="11.28515625" style="1" customWidth="1"/>
    <col min="15376" max="15376" width="13.42578125" style="1" customWidth="1"/>
    <col min="15377" max="15379" width="5.42578125" style="1" customWidth="1"/>
    <col min="15380" max="15380" width="8.28515625" style="1" customWidth="1"/>
    <col min="15381" max="15383" width="4.7109375" style="1" customWidth="1"/>
    <col min="15384" max="15384" width="11.7109375" style="1" customWidth="1"/>
    <col min="15385" max="15386" width="7" style="1" customWidth="1"/>
    <col min="15387" max="15387" width="6.42578125" style="1" customWidth="1"/>
    <col min="15388" max="15388" width="15" style="1" customWidth="1"/>
    <col min="15389" max="15389" width="5.28515625" style="1" customWidth="1"/>
    <col min="15390" max="15392" width="4.7109375" style="1" customWidth="1"/>
    <col min="15393" max="15393" width="11.7109375" style="1" customWidth="1"/>
    <col min="15394" max="15394" width="10" style="1" customWidth="1"/>
    <col min="15395" max="15395" width="7.42578125" style="1" customWidth="1"/>
    <col min="15396" max="15396" width="7.140625" style="1" customWidth="1"/>
    <col min="15397" max="15397" width="6.42578125" style="1" customWidth="1"/>
    <col min="15398" max="15628" width="8.7109375" style="1"/>
    <col min="15629" max="15629" width="3.7109375" style="1" customWidth="1"/>
    <col min="15630" max="15630" width="4.28515625" style="1" customWidth="1"/>
    <col min="15631" max="15631" width="11.28515625" style="1" customWidth="1"/>
    <col min="15632" max="15632" width="13.42578125" style="1" customWidth="1"/>
    <col min="15633" max="15635" width="5.42578125" style="1" customWidth="1"/>
    <col min="15636" max="15636" width="8.28515625" style="1" customWidth="1"/>
    <col min="15637" max="15639" width="4.7109375" style="1" customWidth="1"/>
    <col min="15640" max="15640" width="11.7109375" style="1" customWidth="1"/>
    <col min="15641" max="15642" width="7" style="1" customWidth="1"/>
    <col min="15643" max="15643" width="6.42578125" style="1" customWidth="1"/>
    <col min="15644" max="15644" width="15" style="1" customWidth="1"/>
    <col min="15645" max="15645" width="5.28515625" style="1" customWidth="1"/>
    <col min="15646" max="15648" width="4.7109375" style="1" customWidth="1"/>
    <col min="15649" max="15649" width="11.7109375" style="1" customWidth="1"/>
    <col min="15650" max="15650" width="10" style="1" customWidth="1"/>
    <col min="15651" max="15651" width="7.42578125" style="1" customWidth="1"/>
    <col min="15652" max="15652" width="7.140625" style="1" customWidth="1"/>
    <col min="15653" max="15653" width="6.42578125" style="1" customWidth="1"/>
    <col min="15654" max="15884" width="8.7109375" style="1"/>
    <col min="15885" max="15885" width="3.7109375" style="1" customWidth="1"/>
    <col min="15886" max="15886" width="4.28515625" style="1" customWidth="1"/>
    <col min="15887" max="15887" width="11.28515625" style="1" customWidth="1"/>
    <col min="15888" max="15888" width="13.42578125" style="1" customWidth="1"/>
    <col min="15889" max="15891" width="5.42578125" style="1" customWidth="1"/>
    <col min="15892" max="15892" width="8.28515625" style="1" customWidth="1"/>
    <col min="15893" max="15895" width="4.7109375" style="1" customWidth="1"/>
    <col min="15896" max="15896" width="11.7109375" style="1" customWidth="1"/>
    <col min="15897" max="15898" width="7" style="1" customWidth="1"/>
    <col min="15899" max="15899" width="6.42578125" style="1" customWidth="1"/>
    <col min="15900" max="15900" width="15" style="1" customWidth="1"/>
    <col min="15901" max="15901" width="5.28515625" style="1" customWidth="1"/>
    <col min="15902" max="15904" width="4.7109375" style="1" customWidth="1"/>
    <col min="15905" max="15905" width="11.7109375" style="1" customWidth="1"/>
    <col min="15906" max="15906" width="10" style="1" customWidth="1"/>
    <col min="15907" max="15907" width="7.42578125" style="1" customWidth="1"/>
    <col min="15908" max="15908" width="7.140625" style="1" customWidth="1"/>
    <col min="15909" max="15909" width="6.42578125" style="1" customWidth="1"/>
    <col min="15910" max="16140" width="8.7109375" style="1"/>
    <col min="16141" max="16141" width="3.7109375" style="1" customWidth="1"/>
    <col min="16142" max="16142" width="4.28515625" style="1" customWidth="1"/>
    <col min="16143" max="16143" width="11.28515625" style="1" customWidth="1"/>
    <col min="16144" max="16144" width="13.42578125" style="1" customWidth="1"/>
    <col min="16145" max="16147" width="5.42578125" style="1" customWidth="1"/>
    <col min="16148" max="16148" width="8.28515625" style="1" customWidth="1"/>
    <col min="16149" max="16151" width="4.7109375" style="1" customWidth="1"/>
    <col min="16152" max="16152" width="11.7109375" style="1" customWidth="1"/>
    <col min="16153" max="16154" width="7" style="1" customWidth="1"/>
    <col min="16155" max="16155" width="6.42578125" style="1" customWidth="1"/>
    <col min="16156" max="16156" width="15" style="1" customWidth="1"/>
    <col min="16157" max="16157" width="5.28515625" style="1" customWidth="1"/>
    <col min="16158" max="16160" width="4.7109375" style="1" customWidth="1"/>
    <col min="16161" max="16161" width="11.7109375" style="1" customWidth="1"/>
    <col min="16162" max="16162" width="10" style="1" customWidth="1"/>
    <col min="16163" max="16163" width="7.42578125" style="1" customWidth="1"/>
    <col min="16164" max="16164" width="7.140625" style="1" customWidth="1"/>
    <col min="16165" max="16165" width="6.42578125" style="1" customWidth="1"/>
    <col min="16166" max="16384" width="8.7109375" style="1"/>
  </cols>
  <sheetData>
    <row r="1" spans="2:39" x14ac:dyDescent="0.25">
      <c r="B1" s="1" t="s">
        <v>0</v>
      </c>
      <c r="F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K1" s="2" t="s">
        <v>1</v>
      </c>
    </row>
    <row r="2" spans="2:39" ht="15" customHeight="1" x14ac:dyDescent="0.25">
      <c r="B2" s="1" t="s">
        <v>42</v>
      </c>
      <c r="F2" s="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K2" s="1" t="s">
        <v>2</v>
      </c>
    </row>
    <row r="3" spans="2:39" ht="15" customHeight="1" x14ac:dyDescent="0.25">
      <c r="B3" s="1" t="s">
        <v>95</v>
      </c>
      <c r="F3" s="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K3" s="4" t="s">
        <v>3</v>
      </c>
    </row>
    <row r="4" spans="2:39" ht="25.5" x14ac:dyDescent="0.35">
      <c r="B4" s="58" t="s">
        <v>4</v>
      </c>
      <c r="C4" s="58"/>
      <c r="D4" s="58"/>
      <c r="E4" s="58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spans="2:39" ht="17.25" customHeight="1" x14ac:dyDescent="0.25">
      <c r="B5" s="44" t="s">
        <v>107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2:39" ht="17.25" customHeight="1" x14ac:dyDescent="0.25">
      <c r="B6" s="6" t="s">
        <v>43</v>
      </c>
      <c r="C6" s="6"/>
      <c r="D6" s="6"/>
      <c r="E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2:39" ht="18" customHeight="1" x14ac:dyDescent="0.25">
      <c r="B7" s="7" t="s">
        <v>5</v>
      </c>
      <c r="C7" s="7"/>
      <c r="D7" s="7"/>
      <c r="E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2:39" ht="12.75" customHeight="1" x14ac:dyDescent="0.25">
      <c r="B8" s="7"/>
      <c r="C8" s="7"/>
      <c r="D8" s="7"/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2:39" ht="39.75" customHeight="1" x14ac:dyDescent="0.25">
      <c r="B9" s="60" t="s">
        <v>6</v>
      </c>
      <c r="C9" s="60" t="s">
        <v>7</v>
      </c>
      <c r="D9" s="60" t="s">
        <v>8</v>
      </c>
      <c r="E9" s="60" t="s">
        <v>9</v>
      </c>
      <c r="F9" s="9" t="s">
        <v>10</v>
      </c>
      <c r="G9" s="61" t="s">
        <v>11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  <c r="V9" s="64" t="s">
        <v>12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  <c r="AL9" s="9" t="s">
        <v>13</v>
      </c>
      <c r="AM9" s="46" t="s">
        <v>14</v>
      </c>
    </row>
    <row r="10" spans="2:39" s="11" customFormat="1" ht="23.25" customHeight="1" x14ac:dyDescent="0.25">
      <c r="B10" s="60"/>
      <c r="C10" s="60"/>
      <c r="D10" s="60"/>
      <c r="E10" s="60"/>
      <c r="F10" s="49" t="s">
        <v>15</v>
      </c>
      <c r="G10" s="67" t="s">
        <v>15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 t="s">
        <v>15</v>
      </c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49" t="s">
        <v>16</v>
      </c>
      <c r="AM10" s="47"/>
    </row>
    <row r="11" spans="2:39" s="12" customFormat="1" ht="73.150000000000006" customHeight="1" x14ac:dyDescent="0.25">
      <c r="B11" s="60"/>
      <c r="C11" s="60"/>
      <c r="D11" s="60"/>
      <c r="E11" s="60"/>
      <c r="F11" s="50"/>
      <c r="G11" s="10" t="s">
        <v>69</v>
      </c>
      <c r="H11" s="10" t="s">
        <v>70</v>
      </c>
      <c r="I11" s="10" t="s">
        <v>71</v>
      </c>
      <c r="J11" s="10" t="s">
        <v>73</v>
      </c>
      <c r="K11" s="10" t="s">
        <v>75</v>
      </c>
      <c r="L11" s="10" t="s">
        <v>77</v>
      </c>
      <c r="M11" s="10" t="s">
        <v>78</v>
      </c>
      <c r="N11" s="10" t="s">
        <v>79</v>
      </c>
      <c r="O11" s="10" t="s">
        <v>81</v>
      </c>
      <c r="P11" s="10" t="s">
        <v>82</v>
      </c>
      <c r="Q11" s="10" t="s">
        <v>84</v>
      </c>
      <c r="R11" s="10" t="s">
        <v>85</v>
      </c>
      <c r="S11" s="10" t="s">
        <v>86</v>
      </c>
      <c r="T11" s="10" t="s">
        <v>88</v>
      </c>
      <c r="U11" s="10" t="s">
        <v>17</v>
      </c>
      <c r="V11" s="10" t="s">
        <v>69</v>
      </c>
      <c r="W11" s="10" t="s">
        <v>72</v>
      </c>
      <c r="X11" s="10" t="s">
        <v>73</v>
      </c>
      <c r="Y11" s="10" t="s">
        <v>74</v>
      </c>
      <c r="Z11" s="10" t="s">
        <v>76</v>
      </c>
      <c r="AA11" s="10" t="s">
        <v>77</v>
      </c>
      <c r="AB11" s="10" t="s">
        <v>79</v>
      </c>
      <c r="AC11" s="10" t="s">
        <v>80</v>
      </c>
      <c r="AD11" s="10" t="s">
        <v>81</v>
      </c>
      <c r="AE11" s="10" t="s">
        <v>83</v>
      </c>
      <c r="AF11" s="10" t="s">
        <v>85</v>
      </c>
      <c r="AG11" s="10" t="s">
        <v>86</v>
      </c>
      <c r="AH11" s="10" t="s">
        <v>87</v>
      </c>
      <c r="AI11" s="10" t="s">
        <v>88</v>
      </c>
      <c r="AJ11" s="10" t="s">
        <v>91</v>
      </c>
      <c r="AK11" s="8" t="s">
        <v>18</v>
      </c>
      <c r="AL11" s="50"/>
      <c r="AM11" s="48"/>
    </row>
    <row r="12" spans="2:39" s="12" customFormat="1" ht="15.75" customHeight="1" x14ac:dyDescent="0.25"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4" t="s">
        <v>24</v>
      </c>
      <c r="H12" s="14" t="s">
        <v>25</v>
      </c>
      <c r="I12" s="14" t="s">
        <v>46</v>
      </c>
      <c r="J12" s="14" t="s">
        <v>47</v>
      </c>
      <c r="K12" s="14" t="s">
        <v>48</v>
      </c>
      <c r="L12" s="14" t="s">
        <v>49</v>
      </c>
      <c r="M12" s="14" t="s">
        <v>50</v>
      </c>
      <c r="N12" s="14" t="s">
        <v>51</v>
      </c>
      <c r="O12" s="14" t="s">
        <v>52</v>
      </c>
      <c r="P12" s="14" t="s">
        <v>53</v>
      </c>
      <c r="Q12" s="14" t="s">
        <v>54</v>
      </c>
      <c r="R12" s="14" t="s">
        <v>55</v>
      </c>
      <c r="S12" s="14" t="s">
        <v>89</v>
      </c>
      <c r="T12" s="14" t="s">
        <v>90</v>
      </c>
      <c r="U12" s="14" t="s">
        <v>26</v>
      </c>
      <c r="V12" s="14" t="s">
        <v>27</v>
      </c>
      <c r="W12" s="14" t="s">
        <v>28</v>
      </c>
      <c r="X12" s="14" t="s">
        <v>56</v>
      </c>
      <c r="Y12" s="14" t="s">
        <v>57</v>
      </c>
      <c r="Z12" s="14" t="s">
        <v>58</v>
      </c>
      <c r="AA12" s="14" t="s">
        <v>59</v>
      </c>
      <c r="AB12" s="14" t="s">
        <v>60</v>
      </c>
      <c r="AC12" s="14" t="s">
        <v>61</v>
      </c>
      <c r="AD12" s="14" t="s">
        <v>62</v>
      </c>
      <c r="AE12" s="14" t="s">
        <v>63</v>
      </c>
      <c r="AF12" s="14" t="s">
        <v>64</v>
      </c>
      <c r="AG12" s="14" t="s">
        <v>65</v>
      </c>
      <c r="AH12" s="14" t="s">
        <v>66</v>
      </c>
      <c r="AI12" s="14" t="s">
        <v>67</v>
      </c>
      <c r="AJ12" s="26" t="s">
        <v>68</v>
      </c>
      <c r="AK12" s="14" t="s">
        <v>29</v>
      </c>
      <c r="AL12" s="13" t="s">
        <v>30</v>
      </c>
      <c r="AM12" s="13" t="s">
        <v>31</v>
      </c>
    </row>
    <row r="13" spans="2:39" s="22" customFormat="1" ht="74.25" customHeight="1" x14ac:dyDescent="0.25">
      <c r="B13" s="15">
        <v>1</v>
      </c>
      <c r="C13" s="24" t="s">
        <v>44</v>
      </c>
      <c r="D13" s="16"/>
      <c r="E13" s="16" t="s">
        <v>45</v>
      </c>
      <c r="F13" s="16" t="e">
        <f>'T11'!AL13</f>
        <v>#VALUE!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5">
        <f>SUM(G13:T13)</f>
        <v>0</v>
      </c>
      <c r="V13" s="16"/>
      <c r="W13" s="16"/>
      <c r="X13" s="16"/>
      <c r="Y13" s="23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3"/>
      <c r="AK13" s="25">
        <f>SUM(V13:AJ13)</f>
        <v>0</v>
      </c>
      <c r="AL13" s="25" t="e">
        <f>F13+U13-AK13</f>
        <v>#VALUE!</v>
      </c>
      <c r="AM13" s="23" t="s">
        <v>93</v>
      </c>
    </row>
    <row r="14" spans="2:39" ht="24" customHeight="1" x14ac:dyDescent="0.25">
      <c r="B14" s="15" t="s">
        <v>32</v>
      </c>
      <c r="C14" s="15"/>
      <c r="D14" s="15"/>
      <c r="E14" s="15"/>
      <c r="F14" s="8" t="e">
        <f>F13</f>
        <v>#VALUE!</v>
      </c>
      <c r="G14" s="8">
        <f t="shared" ref="G14:AL14" si="0">G13</f>
        <v>0</v>
      </c>
      <c r="H14" s="8">
        <f t="shared" si="0"/>
        <v>0</v>
      </c>
      <c r="I14" s="8">
        <f t="shared" si="0"/>
        <v>0</v>
      </c>
      <c r="J14" s="8">
        <f t="shared" si="0"/>
        <v>0</v>
      </c>
      <c r="K14" s="8">
        <f t="shared" si="0"/>
        <v>0</v>
      </c>
      <c r="L14" s="8">
        <f t="shared" si="0"/>
        <v>0</v>
      </c>
      <c r="M14" s="8">
        <f t="shared" si="0"/>
        <v>0</v>
      </c>
      <c r="N14" s="8">
        <f t="shared" si="0"/>
        <v>0</v>
      </c>
      <c r="O14" s="8">
        <f t="shared" si="0"/>
        <v>0</v>
      </c>
      <c r="P14" s="8">
        <f t="shared" si="0"/>
        <v>0</v>
      </c>
      <c r="Q14" s="8">
        <f t="shared" si="0"/>
        <v>0</v>
      </c>
      <c r="R14" s="8">
        <f t="shared" si="0"/>
        <v>0</v>
      </c>
      <c r="S14" s="8">
        <f t="shared" si="0"/>
        <v>0</v>
      </c>
      <c r="T14" s="8">
        <f t="shared" si="0"/>
        <v>0</v>
      </c>
      <c r="U14" s="8">
        <f t="shared" si="0"/>
        <v>0</v>
      </c>
      <c r="V14" s="8">
        <f t="shared" si="0"/>
        <v>0</v>
      </c>
      <c r="W14" s="8">
        <f t="shared" si="0"/>
        <v>0</v>
      </c>
      <c r="X14" s="8">
        <f t="shared" si="0"/>
        <v>0</v>
      </c>
      <c r="Y14" s="8">
        <f t="shared" si="0"/>
        <v>0</v>
      </c>
      <c r="Z14" s="8">
        <f t="shared" si="0"/>
        <v>0</v>
      </c>
      <c r="AA14" s="8">
        <f t="shared" si="0"/>
        <v>0</v>
      </c>
      <c r="AB14" s="8">
        <f t="shared" si="0"/>
        <v>0</v>
      </c>
      <c r="AC14" s="8">
        <f t="shared" si="0"/>
        <v>0</v>
      </c>
      <c r="AD14" s="8">
        <f t="shared" si="0"/>
        <v>0</v>
      </c>
      <c r="AE14" s="8">
        <f t="shared" si="0"/>
        <v>0</v>
      </c>
      <c r="AF14" s="8">
        <f t="shared" si="0"/>
        <v>0</v>
      </c>
      <c r="AG14" s="8">
        <f t="shared" si="0"/>
        <v>0</v>
      </c>
      <c r="AH14" s="8">
        <f t="shared" si="0"/>
        <v>0</v>
      </c>
      <c r="AI14" s="8">
        <f t="shared" si="0"/>
        <v>0</v>
      </c>
      <c r="AJ14" s="8">
        <f t="shared" si="0"/>
        <v>0</v>
      </c>
      <c r="AK14" s="8">
        <f t="shared" si="0"/>
        <v>0</v>
      </c>
      <c r="AL14" s="8" t="e">
        <f t="shared" si="0"/>
        <v>#VALUE!</v>
      </c>
      <c r="AM14" s="27"/>
    </row>
    <row r="15" spans="2:39" ht="24" customHeight="1" x14ac:dyDescent="0.25">
      <c r="B15" s="17"/>
      <c r="C15" s="17"/>
      <c r="D15" s="17"/>
      <c r="E15" s="17"/>
      <c r="F15" s="18" t="s">
        <v>96</v>
      </c>
      <c r="U15" s="57" t="s">
        <v>33</v>
      </c>
      <c r="V15" s="57"/>
      <c r="W15" s="57"/>
      <c r="X15" s="57"/>
      <c r="Y15" s="57"/>
      <c r="Z15" s="57"/>
      <c r="AA15" s="57"/>
      <c r="AB15" s="57"/>
      <c r="AC15" s="57"/>
      <c r="AD15" s="5"/>
      <c r="AE15" s="5"/>
      <c r="AF15" s="5"/>
      <c r="AG15" s="5"/>
      <c r="AH15" s="5"/>
      <c r="AI15" s="5"/>
      <c r="AJ15" s="19"/>
      <c r="AK15" s="19"/>
    </row>
    <row r="16" spans="2:39" ht="24" customHeight="1" x14ac:dyDescent="0.25">
      <c r="B16" s="17"/>
      <c r="C16" s="17"/>
      <c r="D16" s="17"/>
      <c r="E16" s="17"/>
      <c r="F16" s="18"/>
      <c r="U16" s="44"/>
      <c r="V16" s="44"/>
      <c r="W16" s="44"/>
      <c r="X16" s="44"/>
      <c r="Y16" s="44"/>
      <c r="Z16" s="44"/>
      <c r="AA16" s="44"/>
      <c r="AB16" s="44"/>
      <c r="AC16" s="44"/>
      <c r="AD16" s="5"/>
      <c r="AE16" s="5"/>
      <c r="AF16" s="5"/>
      <c r="AG16" s="5"/>
      <c r="AH16" s="5"/>
      <c r="AI16" s="5"/>
      <c r="AJ16" s="19"/>
      <c r="AK16" s="19"/>
    </row>
    <row r="17" spans="2:38" ht="24" customHeight="1" x14ac:dyDescent="0.25">
      <c r="B17" s="17"/>
      <c r="C17" s="17"/>
      <c r="D17" s="17"/>
      <c r="E17" s="17"/>
    </row>
    <row r="18" spans="2:38" ht="24" customHeight="1" x14ac:dyDescent="0.25">
      <c r="B18" s="17"/>
      <c r="C18" s="17"/>
      <c r="D18" s="17"/>
      <c r="E18" s="17"/>
    </row>
    <row r="19" spans="2:38" ht="24" customHeight="1" x14ac:dyDescent="0.25">
      <c r="B19" s="17"/>
      <c r="C19" s="17"/>
      <c r="D19" s="17"/>
      <c r="E19" s="17"/>
      <c r="F19" s="19" t="s">
        <v>94</v>
      </c>
    </row>
    <row r="20" spans="2:38" ht="24" customHeight="1" x14ac:dyDescent="0.3">
      <c r="B20" s="17"/>
      <c r="C20" s="17"/>
      <c r="D20" s="17"/>
      <c r="E20" s="17"/>
      <c r="F20" s="21"/>
      <c r="U20" s="45" t="s">
        <v>92</v>
      </c>
      <c r="V20" s="45"/>
      <c r="W20" s="45"/>
      <c r="X20" s="45"/>
      <c r="Y20" s="45"/>
      <c r="Z20" s="45"/>
      <c r="AA20" s="45"/>
      <c r="AB20" s="45"/>
      <c r="AC20" s="45"/>
    </row>
    <row r="21" spans="2:38" x14ac:dyDescent="0.25">
      <c r="B21" s="20" t="s">
        <v>34</v>
      </c>
      <c r="C21" s="20"/>
      <c r="D21" s="20"/>
      <c r="E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2:38" x14ac:dyDescent="0.25">
      <c r="B22" s="42" t="s">
        <v>35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spans="2:38" x14ac:dyDescent="0.25">
      <c r="B23" s="42" t="s">
        <v>36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spans="2:38" x14ac:dyDescent="0.25"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spans="2:38" x14ac:dyDescent="0.25">
      <c r="B25" s="42" t="s">
        <v>38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 spans="2:38" x14ac:dyDescent="0.25">
      <c r="B26" s="42" t="s">
        <v>39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spans="2:38" ht="16.5" customHeight="1" x14ac:dyDescent="0.25">
      <c r="B27" s="42" t="s">
        <v>40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spans="2:38" x14ac:dyDescent="0.25">
      <c r="B28" s="43" t="s">
        <v>41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</row>
  </sheetData>
  <mergeCells count="23">
    <mergeCell ref="U15:AC15"/>
    <mergeCell ref="B4:AL4"/>
    <mergeCell ref="B5:AL5"/>
    <mergeCell ref="B9:B11"/>
    <mergeCell ref="C9:C11"/>
    <mergeCell ref="D9:D11"/>
    <mergeCell ref="E9:E11"/>
    <mergeCell ref="G9:U9"/>
    <mergeCell ref="V9:AK9"/>
    <mergeCell ref="AM9:AM11"/>
    <mergeCell ref="F10:F11"/>
    <mergeCell ref="G10:T10"/>
    <mergeCell ref="U10:AK10"/>
    <mergeCell ref="AL10:AL11"/>
    <mergeCell ref="B26:AJ26"/>
    <mergeCell ref="B27:AJ27"/>
    <mergeCell ref="B28:AK28"/>
    <mergeCell ref="U16:AC16"/>
    <mergeCell ref="U20:AC20"/>
    <mergeCell ref="B22:AL22"/>
    <mergeCell ref="B23:AL23"/>
    <mergeCell ref="B24:AL24"/>
    <mergeCell ref="B25:AL25"/>
  </mergeCells>
  <pageMargins left="0.7" right="0.7" top="0.75" bottom="0.75" header="0.3" footer="0.3"/>
  <pageSetup paperSize="9" scale="31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3D1B-8292-4ABC-8D2E-9F4D033E1C0F}">
  <dimension ref="A1:E10"/>
  <sheetViews>
    <sheetView workbookViewId="0">
      <selection activeCell="G18" sqref="G18"/>
    </sheetView>
  </sheetViews>
  <sheetFormatPr defaultRowHeight="15" x14ac:dyDescent="0.25"/>
  <cols>
    <col min="1" max="1" width="25.28515625" bestFit="1" customWidth="1"/>
    <col min="4" max="4" width="24.42578125" bestFit="1" customWidth="1"/>
    <col min="5" max="5" width="11" bestFit="1" customWidth="1"/>
    <col min="23" max="23" width="11" bestFit="1" customWidth="1"/>
  </cols>
  <sheetData>
    <row r="1" spans="1:5" ht="16.5" x14ac:dyDescent="0.25">
      <c r="A1" s="39"/>
      <c r="B1" s="15" t="s">
        <v>213</v>
      </c>
      <c r="C1" s="15" t="s">
        <v>214</v>
      </c>
      <c r="D1" s="15" t="s">
        <v>225</v>
      </c>
      <c r="E1" s="22"/>
    </row>
    <row r="2" spans="1:5" ht="16.5" x14ac:dyDescent="0.25">
      <c r="A2" s="39" t="s">
        <v>189</v>
      </c>
      <c r="B2" s="15">
        <v>571</v>
      </c>
      <c r="C2" s="15">
        <v>562</v>
      </c>
      <c r="D2" s="40">
        <f>562-8-2-3-6-1-1</f>
        <v>541</v>
      </c>
      <c r="E2" s="22"/>
    </row>
    <row r="3" spans="1:5" ht="16.5" x14ac:dyDescent="0.25">
      <c r="A3" s="39" t="s">
        <v>216</v>
      </c>
      <c r="B3" s="15">
        <v>435</v>
      </c>
      <c r="C3" s="15">
        <v>435</v>
      </c>
      <c r="D3" s="40">
        <v>418</v>
      </c>
      <c r="E3" s="22"/>
    </row>
    <row r="4" spans="1:5" ht="16.5" x14ac:dyDescent="0.25">
      <c r="A4" s="39" t="s">
        <v>215</v>
      </c>
      <c r="B4" s="15">
        <v>0</v>
      </c>
      <c r="C4" s="15">
        <f>102+99+61+54+55+69+55+81+74</f>
        <v>650</v>
      </c>
      <c r="D4" s="41">
        <v>643</v>
      </c>
      <c r="E4" s="22"/>
    </row>
    <row r="5" spans="1:5" ht="16.5" x14ac:dyDescent="0.25">
      <c r="A5" s="39" t="s">
        <v>217</v>
      </c>
      <c r="B5" s="15">
        <v>29</v>
      </c>
      <c r="C5" s="15">
        <v>83</v>
      </c>
      <c r="D5" s="40">
        <v>75</v>
      </c>
      <c r="E5" s="22"/>
    </row>
    <row r="6" spans="1:5" ht="16.5" x14ac:dyDescent="0.25">
      <c r="A6" s="39" t="s">
        <v>218</v>
      </c>
      <c r="B6" s="15">
        <v>139</v>
      </c>
      <c r="C6" s="15">
        <f>(139-50)</f>
        <v>89</v>
      </c>
      <c r="D6" s="15">
        <f>51</f>
        <v>51</v>
      </c>
      <c r="E6" s="22"/>
    </row>
    <row r="7" spans="1:5" ht="16.5" x14ac:dyDescent="0.25">
      <c r="A7" s="39" t="s">
        <v>220</v>
      </c>
      <c r="B7" s="15">
        <f>B2+B3+B4+B5+B6</f>
        <v>1174</v>
      </c>
      <c r="C7" s="15">
        <f>C2+C3+C4+C5+C6</f>
        <v>1819</v>
      </c>
      <c r="D7" s="15">
        <f>D2+D3+D4+D5+D6</f>
        <v>1728</v>
      </c>
      <c r="E7" s="22"/>
    </row>
    <row r="8" spans="1:5" ht="16.5" x14ac:dyDescent="0.25">
      <c r="A8" s="39" t="s">
        <v>219</v>
      </c>
      <c r="B8" s="15">
        <v>1016</v>
      </c>
      <c r="C8" s="15">
        <v>1686</v>
      </c>
      <c r="D8" s="15">
        <v>1589</v>
      </c>
      <c r="E8" s="22"/>
    </row>
    <row r="9" spans="1:5" ht="16.5" x14ac:dyDescent="0.25">
      <c r="A9" s="39" t="s">
        <v>222</v>
      </c>
      <c r="B9" s="15">
        <f>B7-B8</f>
        <v>158</v>
      </c>
      <c r="C9" s="15">
        <f>C7-C8</f>
        <v>133</v>
      </c>
      <c r="D9" s="15">
        <f>D7-D8</f>
        <v>139</v>
      </c>
      <c r="E9" s="22"/>
    </row>
    <row r="10" spans="1:5" x14ac:dyDescent="0.25">
      <c r="D10" t="s">
        <v>256</v>
      </c>
    </row>
  </sheetData>
  <sheetProtection algorithmName="SHA-512" hashValue="3Cap8c5UuLuMpSUx5HBVo+uXhYJ2I9gxoYa5j+2gQAsnfUgNTTF3T1xXOWB5RWdZhkLHo6S/TC2jAT0MBgHjCw==" saltValue="01kSU0f1/H6uyGnPN9XY+g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T01</vt:lpstr>
      <vt:lpstr>T02</vt:lpstr>
      <vt:lpstr>T03</vt:lpstr>
      <vt:lpstr>T04</vt:lpstr>
      <vt:lpstr>T05</vt:lpstr>
      <vt:lpstr>T06</vt:lpstr>
      <vt:lpstr>T07</vt:lpstr>
      <vt:lpstr>T08</vt:lpstr>
      <vt:lpstr>T09</vt:lpstr>
      <vt:lpstr>T10</vt:lpstr>
      <vt:lpstr>T11</vt:lpstr>
      <vt:lpstr>T12</vt:lpstr>
      <vt:lpstr>Sheet1</vt:lpstr>
      <vt:lpstr>'T01'!Print_Area</vt:lpstr>
      <vt:lpstr>'T02'!Print_Area</vt:lpstr>
      <vt:lpstr>'T03'!Print_Area</vt:lpstr>
      <vt:lpstr>'T04'!Print_Area</vt:lpstr>
      <vt:lpstr>'T05'!Print_Area</vt:lpstr>
      <vt:lpstr>'T06'!Print_Area</vt:lpstr>
      <vt:lpstr>'T07'!Print_Area</vt:lpstr>
      <vt:lpstr>'T08'!Print_Area</vt:lpstr>
      <vt:lpstr>'T09'!Print_Area</vt:lpstr>
      <vt:lpstr>'T10'!Print_Area</vt:lpstr>
      <vt:lpstr>'T11'!Print_Area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Thư XNTL</dc:creator>
  <cp:lastModifiedBy>Tín Nguyễn Trung</cp:lastModifiedBy>
  <cp:lastPrinted>2026-06-01T01:53:52Z</cp:lastPrinted>
  <dcterms:created xsi:type="dcterms:W3CDTF">2024-12-13T07:49:32Z</dcterms:created>
  <dcterms:modified xsi:type="dcterms:W3CDTF">2026-06-23T01:54:34Z</dcterms:modified>
</cp:coreProperties>
</file>